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Legend" sheetId="1" state="visible" r:id="rId1"/>
    <sheet xmlns:r="http://schemas.openxmlformats.org/officeDocument/2006/relationships" name="Wet" sheetId="2" state="visible" r:id="rId2"/>
    <sheet xmlns:r="http://schemas.openxmlformats.org/officeDocument/2006/relationships" name="Dry" sheetId="3" state="visible" r:id="rId3"/>
    <sheet xmlns:r="http://schemas.openxmlformats.org/officeDocument/2006/relationships" name="Notes" sheetId="4" state="visible" r:id="rId4"/>
    <sheet xmlns:r="http://schemas.openxmlformats.org/officeDocument/2006/relationships" name="Sheet3" sheetId="5" state="visible" r:id="rId5"/>
  </sheets>
  <definedNames>
    <definedName name="_xlnm._FilterDatabase" localSheetId="1" hidden="1">'Wet'!$A$1:$U$89</definedName>
    <definedName name="_xlnm._FilterDatabase" localSheetId="2" hidden="1">'Dry'!$A$1:$R$154</definedName>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name val="Calibri"/>
      <b val="1"/>
      <color rgb="00305496"/>
      <sz val="12"/>
    </font>
    <font>
      <name val="Calibri"/>
      <b val="1"/>
      <sz val="12"/>
    </font>
    <font>
      <name val="Calibri"/>
      <color theme="1"/>
      <sz val="11"/>
    </font>
    <font>
      <name val="Calibri"/>
      <b val="1"/>
      <color rgb="00FFFFFF"/>
      <sz val="11"/>
    </font>
    <font>
      <name val="Calibri"/>
      <color rgb="FF000000"/>
      <sz val="11"/>
    </font>
    <font>
      <name val="Calibri"/>
      <b val="1"/>
      <color theme="1"/>
      <sz val="11"/>
    </font>
    <font>
      <name val="Calibri"/>
      <sz val="11"/>
    </font>
    <font>
      <name val="Calibri"/>
      <b val="1"/>
      <sz val="11"/>
    </font>
  </fonts>
  <fills count="9">
    <fill>
      <patternFill/>
    </fill>
    <fill>
      <patternFill patternType="gray125"/>
    </fill>
    <fill>
      <patternFill patternType="solid">
        <fgColor rgb="00C6EFCE"/>
      </patternFill>
    </fill>
    <fill>
      <patternFill patternType="solid">
        <fgColor rgb="00D9EAD3"/>
      </patternFill>
    </fill>
    <fill>
      <patternFill patternType="solid">
        <fgColor rgb="00FFEB9C"/>
      </patternFill>
    </fill>
    <fill>
      <patternFill patternType="solid">
        <fgColor rgb="00F8CBAD"/>
      </patternFill>
    </fill>
    <fill>
      <patternFill patternType="solid">
        <fgColor rgb="00FFC7CE"/>
      </patternFill>
    </fill>
    <fill>
      <patternFill patternType="solid">
        <fgColor rgb="00305496"/>
      </patternFill>
    </fill>
    <fill>
      <patternFill patternType="solid">
        <fgColor rgb="00FFFFFF"/>
      </patternFill>
    </fill>
  </fills>
  <borders count="1">
    <border>
      <left/>
      <right/>
      <top/>
      <bottom/>
      <diagonal/>
    </border>
  </borders>
  <cellStyleXfs count="1">
    <xf numFmtId="0" fontId="0" fillId="0" borderId="0"/>
  </cellStyleXfs>
  <cellXfs count="25">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2" fillId="2" borderId="0" pivotButton="0" quotePrefix="0" xfId="0"/>
    <xf numFmtId="0" fontId="2" fillId="3" borderId="0" pivotButton="0" quotePrefix="0" xfId="0"/>
    <xf numFmtId="0" fontId="2" fillId="4" borderId="0" pivotButton="0" quotePrefix="0" xfId="0"/>
    <xf numFmtId="0" fontId="2" fillId="5" borderId="0" pivotButton="0" quotePrefix="0" xfId="0"/>
    <xf numFmtId="0" fontId="2" fillId="6" borderId="0" pivotButton="0" quotePrefix="0" xfId="0"/>
    <xf numFmtId="0" fontId="4" fillId="7" borderId="0" pivotButton="0" quotePrefix="0" xfId="0"/>
    <xf numFmtId="0" fontId="5" fillId="0" borderId="0" pivotButton="0" quotePrefix="0" xfId="0"/>
    <xf numFmtId="0" fontId="5" fillId="2" borderId="0" pivotButton="0" quotePrefix="0" xfId="0"/>
    <xf numFmtId="0" fontId="5" fillId="6" borderId="0" pivotButton="0" quotePrefix="0" xfId="0"/>
    <xf numFmtId="0" fontId="5" fillId="5" borderId="0" pivotButton="0" quotePrefix="0" xfId="0"/>
    <xf numFmtId="0" fontId="5" fillId="4" borderId="0" pivotButton="0" quotePrefix="0" xfId="0"/>
    <xf numFmtId="0" fontId="5" fillId="3" borderId="0" pivotButton="0" quotePrefix="0" xfId="0"/>
    <xf numFmtId="0" fontId="5" fillId="0" borderId="0" applyAlignment="1" pivotButton="0" quotePrefix="0" xfId="0">
      <alignment vertical="center"/>
    </xf>
    <xf numFmtId="0" fontId="5" fillId="0" borderId="0" applyAlignment="1" pivotButton="0" quotePrefix="0" xfId="0">
      <alignment horizontal="left" vertical="top"/>
    </xf>
    <xf numFmtId="0" fontId="6" fillId="0" borderId="0" pivotButton="0" quotePrefix="0" xfId="0"/>
    <xf numFmtId="0" fontId="8" fillId="0" borderId="0" pivotButton="0" quotePrefix="0" xfId="0"/>
    <xf numFmtId="0" fontId="7" fillId="0" borderId="0" pivotButton="0" quotePrefix="0" xfId="0"/>
    <xf numFmtId="0" fontId="7" fillId="2" borderId="0" pivotButton="0" quotePrefix="0" xfId="0"/>
    <xf numFmtId="0" fontId="7" fillId="4" borderId="0" pivotButton="0" quotePrefix="0" xfId="0"/>
    <xf numFmtId="0" fontId="7" fillId="5" borderId="0" pivotButton="0" quotePrefix="0" xfId="0"/>
    <xf numFmtId="0" fontId="7" fillId="8"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8"/>
  <sheetViews>
    <sheetView tabSelected="1" workbookViewId="0">
      <selection activeCell="A1" sqref="A1"/>
    </sheetView>
  </sheetViews>
  <sheetFormatPr baseColWidth="8" defaultRowHeight="15"/>
  <cols>
    <col width="22" customWidth="1" min="1" max="1"/>
    <col width="70" customWidth="1" min="2" max="2"/>
  </cols>
  <sheetData>
    <row r="1">
      <c r="A1" s="1" t="inlineStr">
        <is>
          <t>CAT FOODS — FILTER LEGEND</t>
        </is>
      </c>
    </row>
    <row r="3">
      <c r="A3" s="2" t="inlineStr">
        <is>
          <t>Column</t>
        </is>
      </c>
      <c r="B3" s="3" t="inlineStr">
        <is>
          <t>What it means</t>
        </is>
      </c>
    </row>
    <row r="4">
      <c r="A4" s="2" t="inlineStr">
        <is>
          <t>fish_free</t>
        </is>
      </c>
      <c r="B4" s="3" t="inlineStr">
        <is>
          <t>Y = no fish, fish oil, salmon/tuna/herring/etc. (Evie's hard trigger). Blank = contains fish.</t>
        </is>
      </c>
    </row>
    <row r="5">
      <c r="A5" s="2" t="inlineStr">
        <is>
          <t>has_mussel</t>
        </is>
      </c>
      <c r="B5" s="3" t="inlineStr">
        <is>
          <t>Y = contains green-lipped/NZ mussel (mollusk). Different phylum from fish; plausibly OK for Evie but UNTESTED — treated as avoid for her.</t>
        </is>
      </c>
    </row>
    <row r="6">
      <c r="A6" s="2" t="inlineStr">
        <is>
          <t>fodmap_score</t>
        </is>
      </c>
      <c r="B6" s="3" t="inlineStr">
        <is>
          <t>Numeric fermentable-carb load for SIBO (Mocha). Higher = worse. Sum of weighted ingredients (see below).</t>
        </is>
      </c>
    </row>
    <row r="7">
      <c r="A7" s="2" t="inlineStr">
        <is>
          <t>fodmap_rating</t>
        </is>
      </c>
      <c r="B7" s="3" t="inlineStr">
        <is>
          <t>Excellent(0) / Good(&lt;=1) / Moderate(&lt;=3) / Poor(&lt;=6) / Avoid(&gt;6).</t>
        </is>
      </c>
    </row>
    <row r="8">
      <c r="A8" s="2" t="inlineStr">
        <is>
          <t>has_probiotic</t>
        </is>
      </c>
      <c r="B8" s="3" t="inlineStr">
        <is>
          <t>Y = contains live fermentation products. Informational - does NOT auto-fail Mocha. Pause probiotic foods around any FMT. Only FERMENTABLE SUBSTRATES (FOS/inulin/chicory/legumes) feed SIBO, not transient probiotic strains.</t>
        </is>
      </c>
    </row>
    <row r="9">
      <c r="A9" s="2" t="inlineStr">
        <is>
          <t>EVIE_ok</t>
        </is>
      </c>
      <c r="B9" s="3" t="inlineStr">
        <is>
          <t>Y = fish_free AND no rabbit AND no mussel.</t>
        </is>
      </c>
    </row>
    <row r="10">
      <c r="A10" s="2" t="inlineStr">
        <is>
          <t>MOCHA_ok</t>
        </is>
      </c>
      <c r="B10" s="3" t="inlineStr">
        <is>
          <t>Y = fodmap_rating Moderate-or-better AND kcal&lt;=440 AND protein&gt;=32. NOTE: probiotics NO LONGER exclude (transient, not a fermentable substrate; user already doses S. boulardii). has_probiotic stays visible to filter out during FMT window.</t>
        </is>
      </c>
    </row>
    <row r="11">
      <c r="A11" s="2" t="inlineStr">
        <is>
          <t>LATTE_ok</t>
        </is>
      </c>
      <c r="B11" s="3" t="inlineStr">
        <is>
          <t>Dry: protein&gt;=34 AND kcal&lt;=360.  Wet: protein&gt;=10 AND kcal&lt;=95.  (weight loss + high protein; fish OK, FODMAP OK - not SIBO)</t>
        </is>
      </c>
    </row>
    <row r="13">
      <c r="A13" s="1" t="inlineStr">
        <is>
          <t>FODMAP SCORING WEIGHTS</t>
        </is>
      </c>
    </row>
    <row r="14">
      <c r="A14" s="2" t="inlineStr">
        <is>
          <t>Ingredient</t>
        </is>
      </c>
      <c r="B14" s="2" t="inlineStr">
        <is>
          <t>Penalty / note</t>
        </is>
      </c>
    </row>
    <row r="15">
      <c r="A15" s="3" t="inlineStr">
        <is>
          <t>Inulin</t>
        </is>
      </c>
      <c r="B15" s="3" t="inlineStr">
        <is>
          <t>+5   Purpose-added fermentable prebiotic — worst for SIBO</t>
        </is>
      </c>
    </row>
    <row r="16">
      <c r="A16" s="3" t="inlineStr">
        <is>
          <t>FOS / fructooligosaccharide</t>
        </is>
      </c>
      <c r="B16" s="3" t="inlineStr">
        <is>
          <t>+5   Same as inulin</t>
        </is>
      </c>
    </row>
    <row r="17">
      <c r="A17" s="3" t="inlineStr">
        <is>
          <t>Chicory root</t>
        </is>
      </c>
      <c r="B17" s="3" t="inlineStr">
        <is>
          <t>+5   Source of inulin</t>
        </is>
      </c>
    </row>
    <row r="18">
      <c r="A18" s="3" t="inlineStr">
        <is>
          <t>Whole legumes (each distinct)</t>
        </is>
      </c>
      <c r="B18" s="3" t="inlineStr">
        <is>
          <t>+2 EACH — peas, lentils, chickpeas, fava/navy/pinto/other beans counted separately (3 legumes = +6 = Poor/Avoid)</t>
        </is>
      </c>
    </row>
    <row r="19">
      <c r="A19" s="3" t="inlineStr">
        <is>
          <t>Pea protein</t>
        </is>
      </c>
      <c r="B19" s="3" t="inlineStr">
        <is>
          <t>+2   Concentrated legume fraction</t>
        </is>
      </c>
    </row>
    <row r="20">
      <c r="A20" s="3" t="inlineStr">
        <is>
          <t>Pea flour</t>
        </is>
      </c>
      <c r="B20" s="3" t="inlineStr">
        <is>
          <t xml:space="preserve">+2   </t>
        </is>
      </c>
    </row>
    <row r="21">
      <c r="A21" s="3" t="inlineStr">
        <is>
          <t>Pea fiber</t>
        </is>
      </c>
      <c r="B21" s="3" t="inlineStr">
        <is>
          <t xml:space="preserve">+1.5   </t>
        </is>
      </c>
    </row>
    <row r="22">
      <c r="A22" s="3" t="inlineStr">
        <is>
          <t>Beet pulp</t>
        </is>
      </c>
      <c r="B22" s="3" t="inlineStr">
        <is>
          <t>+1.5   Moderately fermentable</t>
        </is>
      </c>
    </row>
    <row r="23">
      <c r="A23" s="3" t="inlineStr">
        <is>
          <t>Hydrolyzed yeast (MOS)</t>
        </is>
      </c>
      <c r="B23" s="3" t="inlineStr">
        <is>
          <t>+1   Mildly fermentable</t>
        </is>
      </c>
    </row>
    <row r="24">
      <c r="A24" s="3" t="inlineStr">
        <is>
          <t>Pea starch</t>
        </is>
      </c>
      <c r="B24" s="3" t="inlineStr">
        <is>
          <t>+0.5   Low-FODMAP starch — minor</t>
        </is>
      </c>
    </row>
    <row r="25">
      <c r="A25" s="3" t="inlineStr">
        <is>
          <t>Rice / oats / tapioca / potato starch</t>
        </is>
      </c>
      <c r="B25" s="3" t="inlineStr">
        <is>
          <t>+0   Low-FODMAP — no penalty</t>
        </is>
      </c>
    </row>
    <row r="27">
      <c r="A27" s="1" t="inlineStr">
        <is>
          <t>RATING BANDS</t>
        </is>
      </c>
    </row>
    <row r="28">
      <c r="A28" s="4" t="inlineStr">
        <is>
          <t>Excellent</t>
        </is>
      </c>
      <c r="B28" s="3" t="inlineStr">
        <is>
          <t>score = 0</t>
        </is>
      </c>
    </row>
    <row r="29">
      <c r="A29" s="5" t="inlineStr">
        <is>
          <t>Good</t>
        </is>
      </c>
      <c r="B29" s="3" t="inlineStr">
        <is>
          <t>score &lt;= 1</t>
        </is>
      </c>
    </row>
    <row r="30">
      <c r="A30" s="6" t="inlineStr">
        <is>
          <t>Moderate</t>
        </is>
      </c>
      <c r="B30" s="3" t="inlineStr">
        <is>
          <t>score &lt;= 3</t>
        </is>
      </c>
    </row>
    <row r="31">
      <c r="A31" s="7" t="inlineStr">
        <is>
          <t>Poor</t>
        </is>
      </c>
      <c r="B31" s="3" t="inlineStr">
        <is>
          <t>score &lt;= 6</t>
        </is>
      </c>
    </row>
    <row r="32">
      <c r="A32" s="8" t="inlineStr">
        <is>
          <t>Avoid</t>
        </is>
      </c>
      <c r="B32" s="3" t="inlineStr">
        <is>
          <t>score &gt; 6</t>
        </is>
      </c>
    </row>
    <row r="35">
      <c r="A35" s="2" t="inlineStr">
        <is>
          <t>CAVEATS:</t>
        </is>
      </c>
    </row>
    <row r="36">
      <c r="A36" s="3" t="inlineStr">
        <is>
          <t>- Keyword-based: reads the ingredient string, not judgment. 'senior'/'sensitive' marketing is ignored.</t>
        </is>
      </c>
    </row>
    <row r="37">
      <c r="A37" s="3" t="inlineStr">
        <is>
          <t>- Pea family capped: only the WORST pea/legume term counts (dried peas OR pea protein OR pea starch), not summed.</t>
        </is>
      </c>
    </row>
    <row r="38">
      <c r="A38" s="3" t="inlineStr">
        <is>
          <t>- has_mussel is informational; Evie tolerance untested, so EVIE_ok excludes mussel to be safe.</t>
        </is>
      </c>
    </row>
    <row r="39">
      <c r="A39" s="3" t="inlineStr">
        <is>
          <t>- Mocha's real fix is treating the SIBO (tylosin/FMT); diet only reduces fermentable fuel.</t>
        </is>
      </c>
    </row>
    <row r="40">
      <c r="A40" s="3" t="inlineStr">
        <is>
          <t>- Verify every label at purchase — formulas drift (fish sneaks into 'chicken', etc.).</t>
        </is>
      </c>
    </row>
    <row r="42">
      <c r="A42" s="2" t="inlineStr">
        <is>
          <t>protein_DMB (Wet sheet)</t>
        </is>
      </c>
      <c r="B42" s="3" t="inlineStr">
        <is>
          <t>Dry-matter protein % = protein / (100 - moisture) x 100. For wet food, judge protein on THIS not as-fed. &gt;=50% = high protein. Existing rows without a stated moisture assume 78% (typical canned).</t>
        </is>
      </c>
    </row>
    <row r="44">
      <c r="A44" s="1" t="inlineStr">
        <is>
          <t>ANIMAL vs PLANT PROTEIN (estimate)</t>
        </is>
      </c>
    </row>
    <row r="45">
      <c r="A45" s="19" t="inlineStr">
        <is>
          <t>plant_protein_ct</t>
        </is>
      </c>
      <c r="B45" s="20" t="inlineStr">
        <is>
          <t>Count of concentrated PLANT-protein ingredients (soy/pea/potato/rice/corn/wheat protein/pea flour). &gt;0 = protein % partly inflated by plants.</t>
        </is>
      </c>
    </row>
    <row r="46">
      <c r="A46" s="19" t="inlineStr">
        <is>
          <t>animal_idx</t>
        </is>
      </c>
      <c r="B46" s="20" t="inlineStr">
        <is>
          <t>Estimated % of protein from ANIMAL sources (0-100). Ingredient-list estimate: classifies each ingredient, discounts fresh/deboned meat water weight (~3x) vs dried meals, weights by position + typical protein density. RANKING-accurate, not lab-measured.</t>
        </is>
      </c>
    </row>
    <row r="47">
      <c r="A47" s="19" t="inlineStr">
        <is>
          <t>animal_band</t>
        </is>
      </c>
      <c r="B47" s="20" t="inlineStr">
        <is>
          <t>High (&gt;=85) / Mod (65-84) / Low (&lt;65) animal-protein dominance.</t>
        </is>
      </c>
    </row>
    <row r="48">
      <c r="A48" s="19" t="inlineStr">
        <is>
          <t xml:space="preserve">  caveat</t>
        </is>
      </c>
      <c r="B48" s="20" t="inlineStr">
        <is>
          <t>Estimate only. Can't see true % from label. Handles meal-vs-fresh trap approximately. Broth counted ~0 protein. Insect counted half-animal. Use to RANK/compare, not as exact figures.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U89"/>
  <sheetViews>
    <sheetView tabSelected="0" workbookViewId="0">
      <pane ySplit="1" topLeftCell="A2" activePane="bottomLeft" state="frozen"/>
      <selection pane="bottomLeft" activeCell="A1" sqref="A1"/>
    </sheetView>
  </sheetViews>
  <sheetFormatPr baseColWidth="8" defaultRowHeight="15"/>
  <sheetData>
    <row r="1">
      <c r="A1" s="9" t="inlineStr">
        <is>
          <t>Brand</t>
        </is>
      </c>
      <c r="B1" s="9" t="inlineStr">
        <is>
          <t>Flavor</t>
        </is>
      </c>
      <c r="C1" s="9" t="inlineStr">
        <is>
          <t>Size (oz)</t>
        </is>
      </c>
      <c r="D1" s="9" t="inlineStr">
        <is>
          <t>kCal</t>
        </is>
      </c>
      <c r="E1" s="9" t="inlineStr">
        <is>
          <t>cal per oz</t>
        </is>
      </c>
      <c r="F1" s="9" t="inlineStr">
        <is>
          <t>protein</t>
        </is>
      </c>
      <c r="G1" s="9" t="inlineStr">
        <is>
          <t>notes</t>
        </is>
      </c>
      <c r="H1" s="9" t="inlineStr">
        <is>
          <t>ingredients</t>
        </is>
      </c>
      <c r="I1" s="9" t="inlineStr">
        <is>
          <t>fish_free</t>
        </is>
      </c>
      <c r="J1" s="9" t="inlineStr">
        <is>
          <t>has_mussel</t>
        </is>
      </c>
      <c r="K1" s="9" t="inlineStr">
        <is>
          <t>fodmap_score</t>
        </is>
      </c>
      <c r="L1" s="9" t="inlineStr">
        <is>
          <t>fodmap_rating</t>
        </is>
      </c>
      <c r="M1" s="9" t="inlineStr">
        <is>
          <t>has_probiotic</t>
        </is>
      </c>
      <c r="N1" s="9" t="inlineStr">
        <is>
          <t>EVIE_ok</t>
        </is>
      </c>
      <c r="O1" s="9" t="inlineStr">
        <is>
          <t>MOCHA_ok</t>
        </is>
      </c>
      <c r="P1" s="9" t="inlineStr">
        <is>
          <t>LATTE_ok</t>
        </is>
      </c>
      <c r="Q1" s="9" t="inlineStr">
        <is>
          <t>moisture</t>
        </is>
      </c>
      <c r="R1" s="9" t="inlineStr">
        <is>
          <t>protein_DMB</t>
        </is>
      </c>
      <c r="S1" s="9" t="inlineStr">
        <is>
          <t>plant_protein_ct</t>
        </is>
      </c>
      <c r="T1" s="9" t="inlineStr">
        <is>
          <t>animal_idx</t>
        </is>
      </c>
      <c r="U1" s="9" t="inlineStr">
        <is>
          <t>animal_band</t>
        </is>
      </c>
    </row>
    <row r="2">
      <c r="A2" s="10" t="inlineStr">
        <is>
          <t>royal canin</t>
        </is>
      </c>
      <c r="B2" s="10" t="inlineStr">
        <is>
          <t>satiety support</t>
        </is>
      </c>
      <c r="C2" s="10" t="n">
        <v>3</v>
      </c>
      <c r="D2" s="10" t="n">
        <v>50</v>
      </c>
      <c r="E2" s="10">
        <f>D2/C2</f>
        <v/>
      </c>
      <c r="F2" s="10" t="n">
        <v>6</v>
      </c>
      <c r="H2" s="10" t="inlineStr">
        <is>
          <t>Water Sufficient For Processing, Chicken By-Products, Pork By-Products, Pork Liver, Brewers Rice Flour, Pork Plasma, Powdered Cellulose, Modified Corn Starch, Egg Product, Natural Flavors, Calcium Carbonate, Sodium Tripolyphosphate, Guar Gum, Taurine, Potassium Chloride, Calcium Sulfate, Vitamins [Dl-Alpha Tocopherol Acetate (Source Of Vitamin E), L-Ascorbyl-2-Polyphosphate (Source Of Vitamin C), Thiamine Mononitrate (Vitamin B1), Niacin Supplement, Biotin, D-Calcium Pantothenate, Pyridoxine Hydrochloride (Vitamin B6), Riboflavin Supplement, Folic Acid, Vitamin B12 Supplement, Vitamin D3 Supplement], L-Carnitine, Trace Minerals [Zinc Proteinate, Zinc Oxide, Ferrous Sulfate, Copper Sulfate, Manganous Oxide, Sodium Selenite, Calcium Iodate], Marigold Extract (Tagetes Erecta L.), Glucosamine Hydrochloride, Chondroitin Sulfate.</t>
        </is>
      </c>
      <c r="I2" s="11" t="inlineStr">
        <is>
          <t>Y</t>
        </is>
      </c>
      <c r="K2" s="11" t="n">
        <v>0</v>
      </c>
      <c r="L2" s="11" t="inlineStr">
        <is>
          <t>Excellent</t>
        </is>
      </c>
      <c r="M2" s="11" t="n"/>
      <c r="N2" s="11" t="inlineStr">
        <is>
          <t>Y</t>
        </is>
      </c>
      <c r="O2" s="12" t="n"/>
      <c r="P2" s="12" t="n"/>
      <c r="Q2" s="10" t="n">
        <v>78</v>
      </c>
      <c r="R2" s="13" t="n">
        <v>27.3</v>
      </c>
      <c r="S2" s="20" t="n">
        <v>0</v>
      </c>
      <c r="T2" s="20" t="n">
        <v>100</v>
      </c>
      <c r="U2" s="21" t="inlineStr">
        <is>
          <t>High</t>
        </is>
      </c>
    </row>
    <row r="3">
      <c r="A3" s="10" t="inlineStr">
        <is>
          <t>Instinct</t>
        </is>
      </c>
      <c r="B3" s="10" t="inlineStr">
        <is>
          <t>Minced rabbit</t>
        </is>
      </c>
      <c r="C3" s="10" t="n">
        <v>3.5</v>
      </c>
      <c r="D3" s="10" t="n">
        <v>74</v>
      </c>
      <c r="E3" s="10">
        <f>D3/C3</f>
        <v/>
      </c>
      <c r="H3" s="10" t="inlineStr">
        <is>
          <t>Pork Broth, Rabbit, Pork Liver, Pork, Egg Whites, Ground Dried Peas, Spinach, Carrots, Ground Flaxseed, Montmorillonite Clay, Guar Gum, Natural Flavor, Sodium Phosphate, Salt, Flaxseed Oil (Preserved With Mixed Tocopherols), Calcium Carbonate, Potassium Chloride, Dried Kelp, Choline Chloride, Minerals (Iron Proteinate, Zinc Proteinate, Copper Proteinate, Manganese Proteinate, Sodium Selenite, Potassium Iodide), Vitamins (Vitamin E Supplement, Thiamine Mononitrate, Niacin Supplement, D-Calcium Pantothenate, Pyridoxine Hydrochloride, Riboflavin Supplement, Vitamin A Supplement, Biotin, Vitamin D3 Supplement, Vitamin B12 Supplement, Folic Acid), Taurine, Xanthan Gum, Artichokes, Cranberries, Pumpkin, Tomato, Blueberries, Broccoli, Cabbage, Kale, Parsley</t>
        </is>
      </c>
      <c r="I3" s="11" t="inlineStr">
        <is>
          <t>Y</t>
        </is>
      </c>
      <c r="K3" s="12" t="n">
        <v>2</v>
      </c>
      <c r="L3" s="14" t="inlineStr">
        <is>
          <t>Moderate</t>
        </is>
      </c>
      <c r="M3" s="12" t="n"/>
      <c r="N3" s="12" t="n"/>
      <c r="O3" s="11" t="inlineStr">
        <is>
          <t>Y</t>
        </is>
      </c>
      <c r="P3" s="12" t="n"/>
      <c r="S3" s="20" t="n">
        <v>0</v>
      </c>
      <c r="T3" s="20" t="n">
        <v>67</v>
      </c>
      <c r="U3" s="22" t="inlineStr">
        <is>
          <t>Mod</t>
        </is>
      </c>
    </row>
    <row r="4">
      <c r="A4" s="10" t="inlineStr">
        <is>
          <t>N&amp;D</t>
        </is>
      </c>
      <c r="B4" s="10" t="inlineStr">
        <is>
          <t>Quinoa Cat Weight Management</t>
        </is>
      </c>
      <c r="C4" s="10" t="n">
        <v>3</v>
      </c>
      <c r="D4" s="10" t="n">
        <v>67</v>
      </c>
      <c r="E4" s="10">
        <f>D4/C4</f>
        <v/>
      </c>
      <c r="H4" s="10" t="inlineStr">
        <is>
          <t>lamb, hydrolyzed herring, quinoa seed, herring oil, broccoli, asparagus, fructooligosaccharides, calcium carbonate, psyllium seed husk, potassium chloride, vitamin A supplement, vitamin D3 supplement, vitamin E supplement, choline chloride, zinc methionine hydroxy analogue chelate, manganese methionine hydroxy analogue chelate, ferrous glycine, copper methionine hydroxy analogue chelate, DL-methionine, taurine, L-Carnitine.</t>
        </is>
      </c>
      <c r="I4" s="12" t="n"/>
      <c r="K4" s="12" t="n">
        <v>5</v>
      </c>
      <c r="L4" s="13" t="inlineStr">
        <is>
          <t>Poor</t>
        </is>
      </c>
      <c r="M4" s="12" t="n"/>
      <c r="N4" s="12" t="n"/>
      <c r="O4" s="12" t="n"/>
      <c r="P4" s="12" t="n"/>
      <c r="S4" s="20" t="n">
        <v>0</v>
      </c>
      <c r="T4" s="20" t="n">
        <v>100</v>
      </c>
      <c r="U4" s="21" t="inlineStr">
        <is>
          <t>High</t>
        </is>
      </c>
    </row>
    <row r="5">
      <c r="A5" s="10" t="inlineStr">
        <is>
          <t>Farmina</t>
        </is>
      </c>
      <c r="B5" s="10" t="inlineStr">
        <is>
          <t>HP Derma</t>
        </is>
      </c>
      <c r="C5" s="10" t="n">
        <v>3</v>
      </c>
      <c r="D5" s="10" t="n">
        <v>68</v>
      </c>
      <c r="E5" s="10">
        <f>D5/C5</f>
        <v/>
      </c>
      <c r="H5" s="10" t="inlineStr">
        <is>
          <t>Pork liver, pork, sweet potato starch, quinoa seed, herring oil, flaxseed, powdered cellulose, calcium carbonate, fructooligosaccharide, potassium chloride, calcium sulfate dihydrate, monocalcium phosphate, salt, vitamin A supplement, vitamin D3 supplement, vitamin E supplement, zinc methionine hydroxy analogue chelate, manganese methionine hydroxy analogue chelate, ferrous glycine, copper
methionine hydroxy analogue chelate, calcium iodate, DL-Methionine, taurine, L-Carnitine.</t>
        </is>
      </c>
      <c r="I5" s="12" t="n"/>
      <c r="K5" s="12" t="n">
        <v>5</v>
      </c>
      <c r="L5" s="13" t="inlineStr">
        <is>
          <t>Poor</t>
        </is>
      </c>
      <c r="M5" s="12" t="n"/>
      <c r="N5" s="12" t="n"/>
      <c r="O5" s="12" t="n"/>
      <c r="P5" s="12" t="n"/>
      <c r="S5" s="20" t="n">
        <v>0</v>
      </c>
      <c r="T5" s="20" t="n">
        <v>100</v>
      </c>
      <c r="U5" s="21" t="inlineStr">
        <is>
          <t>High</t>
        </is>
      </c>
    </row>
    <row r="6">
      <c r="A6" s="10" t="inlineStr">
        <is>
          <t>Tiny Tiger</t>
        </is>
      </c>
      <c r="B6" s="10" t="inlineStr">
        <is>
          <t>Salmon</t>
        </is>
      </c>
      <c r="C6" s="10" t="n">
        <v>3</v>
      </c>
      <c r="D6" s="10" t="n">
        <v>68</v>
      </c>
      <c r="E6" s="10">
        <f>D6/C6</f>
        <v/>
      </c>
      <c r="H6" s="10" t="inlineStr">
        <is>
          <t>Fish Broth, Salmon, Liver, Chicken, Ocean Whitefish, Meat By-Products, Potato Starch, Dried Egg Product, Natural Flavor, Salt, Guar Gum, Sodium Phosphate, Potassium Chloride, Calcium Carbonate, Vitamins (Thiamine Mononitrate, Vitamin E Supplement, Niacin Supplement, D-Calcium Pantothenate, Pyridoxine Hydrochloride, Riboflavin Supplement, Vitamin A Supplement, Biotin, Vitamin D3 Supplement, Vitamin B12 Supplement, Folic Acid), Choline Chloride, Minerals (Ferrous Sulfate, Zinc Oxide, Copper Proteinate, Sodium Selenite, Manganese Sulfate, Potassium Iodide), Dl-Methionine, Taurine, Magnesium Sulfate, Fish Oil (Preserved With Mixed Tocopherols).</t>
        </is>
      </c>
      <c r="I6" s="12" t="n"/>
      <c r="K6" s="11" t="n">
        <v>0</v>
      </c>
      <c r="L6" s="11" t="inlineStr">
        <is>
          <t>Excellent</t>
        </is>
      </c>
      <c r="M6" s="12" t="n"/>
      <c r="N6" s="12" t="n"/>
      <c r="O6" s="11" t="inlineStr">
        <is>
          <t>Y</t>
        </is>
      </c>
      <c r="P6" s="12" t="n"/>
      <c r="S6" s="20" t="n">
        <v>0</v>
      </c>
      <c r="T6" s="20" t="n">
        <v>100</v>
      </c>
      <c r="U6" s="21" t="inlineStr">
        <is>
          <t>High</t>
        </is>
      </c>
    </row>
    <row r="7">
      <c r="A7" s="10" t="inlineStr">
        <is>
          <t>Iams Indoor</t>
        </is>
      </c>
      <c r="B7" s="10" t="inlineStr">
        <is>
          <t>salmon grain free cuts in gravy</t>
        </is>
      </c>
      <c r="C7" s="10">
        <f>1.32*2</f>
        <v/>
      </c>
      <c r="D7" s="10" t="n">
        <v>60</v>
      </c>
      <c r="E7" s="10">
        <f>D7/C7</f>
        <v/>
      </c>
      <c r="H7" s="10" t="inlineStr">
        <is>
          <t>Water, Chicken, Salmon, Chicken Liver, Meat By-Products, Tapioca Starch, Chicken Broth, Dried Egg Product, Dried Plain Beet Pulp, Glycine, Potassium Chloride, Fish Oil (preserved with Mixed Tocopherols), Salt, Natural Flavor, Magnesium Sulfate, Xanthan Gum, Sodium Tripolyphosphate, Choline Chloride, Taurine, Fructooligosaccharides, DL-Methionine, Vitamin E Supplement, Thiamine Mononitrate (Vitamin B1), Guar Gum, Iron Oxide Color, Zinc Sulfate, Ferrous Sulfate, Manganese Sulfate, Copper Sulfate, Pyridoxine Hydrochloride (Vitamin B6), Vitamin D3 Supplement, Folic Acid, Potassium Iodide, Menadione Sodium Bisulfite Complex (Source of Vitamin K).</t>
        </is>
      </c>
      <c r="I7" s="12" t="n"/>
      <c r="K7" s="12" t="n">
        <v>6.5</v>
      </c>
      <c r="L7" s="12" t="inlineStr">
        <is>
          <t>Avoid</t>
        </is>
      </c>
      <c r="M7" s="12" t="n"/>
      <c r="N7" s="12" t="n"/>
      <c r="O7" s="12" t="n"/>
      <c r="P7" s="12" t="n"/>
      <c r="S7" s="20" t="n">
        <v>0</v>
      </c>
      <c r="T7" s="20" t="n">
        <v>100</v>
      </c>
      <c r="U7" s="21" t="inlineStr">
        <is>
          <t>High</t>
        </is>
      </c>
    </row>
    <row r="8">
      <c r="A8" s="10" t="inlineStr">
        <is>
          <t>Instinct</t>
        </is>
      </c>
      <c r="B8" s="10" t="inlineStr">
        <is>
          <t>Tuna Entree Grain-Free Flaked Wet Cat Food</t>
        </is>
      </c>
      <c r="C8" s="10" t="n">
        <v>3</v>
      </c>
      <c r="D8" s="10" t="n">
        <v>69</v>
      </c>
      <c r="E8" s="10">
        <f>D8/C8</f>
        <v/>
      </c>
      <c r="H8" s="10" t="inlineStr">
        <is>
          <t>Fish Broth, Tuna, Pork Liver, Pork, Natural Flavor, Egg Product, Spinach, Carrots, Dried Ground Peas, Sunflower Oil, Salt, Guar Gum, Ground Flaxseed, Montmorillonite Clay, Menhaden Fish Oil (Preserved With Mixed Tocopherols), Calcium Carbonate, Sodium Phosphate, Tricalcium Phosphate, Potassium Chloride, Minerals (Iron Proteinate, Zinc Proteinate, Copper Proteinate, Manganese Proteinate, Sodium Selenite, Potassium Iodide), Choline Chloride, Vitamins (Thiamine Mononitrate, Vitamin E Supplement, Niacin Supplement, D-Calcium Pantothenate, Pyridoxine Hydrochloride, Riboflavin Supplement, Vitamin A Supplement, Biotin, Vitamin D3 Supplement, Vitamin B12 Supplement, Folic Acid), Taurine, Dried Kelp, Cassia Gum, Xanthan Gum, Artichokes, Cranberries, Pumpkin, Tomato, Blueberries, Broccoli, Cabbage, Kale, Parsley.</t>
        </is>
      </c>
      <c r="I8" s="12" t="n"/>
      <c r="K8" s="12" t="n">
        <v>2</v>
      </c>
      <c r="L8" s="14" t="inlineStr">
        <is>
          <t>Moderate</t>
        </is>
      </c>
      <c r="M8" s="12" t="n"/>
      <c r="N8" s="12" t="n"/>
      <c r="O8" s="11" t="inlineStr">
        <is>
          <t>Y</t>
        </is>
      </c>
      <c r="P8" s="12" t="n"/>
      <c r="S8" s="20" t="n">
        <v>0</v>
      </c>
      <c r="T8" s="20" t="n">
        <v>83</v>
      </c>
      <c r="U8" s="22" t="inlineStr">
        <is>
          <t>Mod</t>
        </is>
      </c>
    </row>
    <row r="9">
      <c r="A9" s="10" t="inlineStr">
        <is>
          <t>Iams Indoor</t>
        </is>
      </c>
      <c r="B9" s="10" t="inlineStr">
        <is>
          <t>chicken</t>
        </is>
      </c>
      <c r="C9" s="10" t="n">
        <v>3</v>
      </c>
      <c r="D9" s="10">
        <f>35*2</f>
        <v/>
      </c>
      <c r="E9" s="10">
        <f>D9/C9</f>
        <v/>
      </c>
      <c r="H9" s="10" t="inlineStr">
        <is>
          <t>Chicken Broth, Chicken, Chicken Liver, Meat By-Products, Tapioca Starch, Dried Egg Product, Dried Plain Beet Pulp, Glycine, Fish Oil (preserved with Mixed Tocopherols), Potassium Chloride, Salt, Sodium Tripolyphosphate, Natural Flavor, Magnesium Sulfate, Xanthan Gum, Choline Chloride, Caramel Color, Taurine, Fructooligosaccharides, DL-Methionine, Vitamin E Supplement, Thiamine Mononitrate (Vitamin B1), Guar Gum, Zinc Sulfate, Ferrous Sulfate, Manganese Sulfate, Copper Sulfate, Pyridoxine Hydrochloride (Vitamin B6), Potassium Iodide, Vitamin D3 Supplement, Folic Acid, Menadione Sodium Bisulfite Complex (Source of Vitamin K).</t>
        </is>
      </c>
      <c r="I9" s="12" t="n"/>
      <c r="K9" s="12" t="n">
        <v>6.5</v>
      </c>
      <c r="L9" s="12" t="inlineStr">
        <is>
          <t>Avoid</t>
        </is>
      </c>
      <c r="M9" s="12" t="n"/>
      <c r="N9" s="12" t="n"/>
      <c r="O9" s="12" t="n"/>
      <c r="P9" s="12" t="n"/>
      <c r="S9" s="20" t="n">
        <v>0</v>
      </c>
      <c r="T9" s="20" t="n">
        <v>100</v>
      </c>
      <c r="U9" s="21" t="inlineStr">
        <is>
          <t>High</t>
        </is>
      </c>
    </row>
    <row r="10">
      <c r="A10" s="10" t="inlineStr">
        <is>
          <t>hills</t>
        </is>
      </c>
      <c r="B10" s="10" t="inlineStr">
        <is>
          <t>biome</t>
        </is>
      </c>
      <c r="C10" s="10" t="n">
        <v>2.9</v>
      </c>
      <c r="D10" s="10" t="n">
        <v>68</v>
      </c>
      <c r="E10" s="10">
        <f>D10/C10</f>
        <v/>
      </c>
      <c r="H10" s="10" t="inlineStr">
        <is>
          <t>Chicken Broth, Chicken, Pork Liver, Carrots, Rice Starch, Wheat Gluten, Spinach, Ground Pecan Shells, Rice, Hydrolyzed Chicken Flavor, Flaxseed, Soybean Oil, Potassium Alginate, Whole Grain Barley, Dried Citrus Pulp, Fish Oil, Dried Beet Pulp, Calcium Chloride, L-Lysine, Natural Flavor, Pumpkin, Pressed Cranberries, Powdered Cellulose, Guar Gum, Dicalcium Phosphate, Choline Chloride, Oat Fiber, Potassium Citrate, Sodium Tripolyphosphate, Fructooligosaccharides (FOS), Calcium Lactate, Calcium Gluconate, vitamins (Vitamin E Supplement, Thiamine Mononitrate, L-Ascorbyl-2-Polyphosphate (source of Vitamin C), Niacin Supplement, Menadione Sodium Bisulfite Complex (source of Vitamin K), Pyridoxine Hydrochloride, Calcium Pantothenate, Vitamin B12 Supplement, Riboflavin Supplement, Biotin, Folic Acid, Vitamin D3 Supplement), Taurine, Psyllium Seed Husk, Dried Hydrolyzed Casein, L-Tryptophan, minerals (Zinc Oxide, Ferrous Sulfate, Manganese Sulfate, Copper Sulfate, Calcium Iodate)</t>
        </is>
      </c>
      <c r="I10" s="12" t="n"/>
      <c r="K10" s="12" t="n">
        <v>6.5</v>
      </c>
      <c r="L10" s="12" t="inlineStr">
        <is>
          <t>Avoid</t>
        </is>
      </c>
      <c r="M10" s="12" t="n"/>
      <c r="N10" s="12" t="n"/>
      <c r="O10" s="12" t="n"/>
      <c r="P10" s="12" t="n"/>
      <c r="S10" s="20" t="n">
        <v>1</v>
      </c>
      <c r="T10" s="20" t="n">
        <v>56</v>
      </c>
      <c r="U10" s="23" t="inlineStr">
        <is>
          <t>Low</t>
        </is>
      </c>
    </row>
    <row r="11">
      <c r="A11" s="10" t="inlineStr">
        <is>
          <t>wellness core</t>
        </is>
      </c>
      <c r="B11" s="10" t="inlineStr">
        <is>
          <t>healthy weight chicken &amp; tuna</t>
        </is>
      </c>
      <c r="C11" s="10" t="n">
        <v>2.8</v>
      </c>
      <c r="D11" s="10">
        <f>79.4/1000*827</f>
        <v/>
      </c>
      <c r="E11" s="10">
        <f>D11/C11</f>
        <v/>
      </c>
      <c r="H11" s="10" t="inlineStr">
        <is>
          <t>Chicken, Tuna, Chicken Broth, Tuna Broth, Water Sufficient for Processing, Sole, Natural Flavor, Ground Miscanthus Grass, Pea Fiber, Taurine, Dried Egg Whites, Sunflower Oil, Tapioca Starch, Calcium Carbonate, Locust Bean Gum, Tricalcium Phosphate, Dried Chicory Root, Salt, Marine Microalgae Oil (preserved with mixed tocopherols), Agar-Agar, Potassium Chloride, Guar Gum, Magnesium Sulfate, Choline Chloride, Xanthan Gum, Zinc Proteinate, Vitamin E Supplement, L-Carnitine, Thiamine Mononitrate, Iron Proteinate, Menadione Sodium Bisulfite Complex (Vitamin K), Niacin Supplement, Manganese Proteinate, Copper Proteinate, Vitamin A Supplement, Pyridoxine Hydrochloride, d-Calcium Pantothenate, Sodium Selenite, Riboflavin Supplement, Folic Acid, Potassium Iodide, Biotin, Vitamin B12 Supplement, Vitamin D3 Supplement.</t>
        </is>
      </c>
      <c r="I11" s="12" t="n"/>
      <c r="K11" s="12" t="n">
        <v>6.5</v>
      </c>
      <c r="L11" s="12" t="inlineStr">
        <is>
          <t>Avoid</t>
        </is>
      </c>
      <c r="M11" s="12" t="n"/>
      <c r="N11" s="12" t="n"/>
      <c r="O11" s="12" t="n"/>
      <c r="P11" s="12" t="n"/>
      <c r="S11" s="20" t="n">
        <v>0</v>
      </c>
      <c r="T11" s="20" t="n">
        <v>100</v>
      </c>
      <c r="U11" s="21" t="inlineStr">
        <is>
          <t>High</t>
        </is>
      </c>
    </row>
    <row r="12">
      <c r="A12" s="10" t="inlineStr">
        <is>
          <t xml:space="preserve">Wellness CORE </t>
        </is>
      </c>
      <c r="B12" s="10" t="inlineStr">
        <is>
          <t>ignature Selects Shredded Boneless Chicken &amp; Chicken Liver Entree in Sauce Grain-Free Natural</t>
        </is>
      </c>
      <c r="C12" s="10" t="n">
        <v>2.8</v>
      </c>
      <c r="D12" s="10" t="n">
        <v>66</v>
      </c>
      <c r="E12" s="10">
        <f>D12/C12</f>
        <v/>
      </c>
      <c r="H12" s="10" t="inlineStr">
        <is>
          <t>Boneless Chicken, Chicken Broth, Water Sufficient for Processing, Tapioca Starch, Potato Starch, Chicken Liver, Eggs, Natural Flavor, Salt, Sunflower Oil, Tricalcium Phosphate, Taurine, Magnesium Sulfate, Guar Gum, Vitamins [Vitamin E Supplement, Thiamine Hydrochloride, Niacin, Vitamin A Supplement, Pyridoxine Hydrochloride, d-Calcium Pantothenate, Riboflavin Supplement, Folic Acid, Vitamin D3 Supplement, Biotin, Vitamin B12 Supplement], Potassium Chloride, Choline Chloride, Minerals [Zinc Amino Acid Chelate, Iron Amino Acid Chelate, Manganese Amino Acid Chelate, Copper Amino Acid Chelate, Potassium Iodide, Sodium Selenite].</t>
        </is>
      </c>
      <c r="I12" s="11" t="inlineStr">
        <is>
          <t>Y</t>
        </is>
      </c>
      <c r="K12" s="11" t="n">
        <v>0</v>
      </c>
      <c r="L12" s="11" t="inlineStr">
        <is>
          <t>Excellent</t>
        </is>
      </c>
      <c r="M12" s="11" t="n"/>
      <c r="N12" s="11" t="inlineStr">
        <is>
          <t>Y</t>
        </is>
      </c>
      <c r="O12" s="11" t="inlineStr">
        <is>
          <t>Y</t>
        </is>
      </c>
      <c r="P12" s="12" t="n"/>
      <c r="S12" s="20" t="n">
        <v>0</v>
      </c>
      <c r="T12" s="20" t="n">
        <v>100</v>
      </c>
      <c r="U12" s="21" t="inlineStr">
        <is>
          <t>High</t>
        </is>
      </c>
    </row>
    <row r="13">
      <c r="A13" s="10" t="inlineStr">
        <is>
          <t>N&amp;D</t>
        </is>
      </c>
      <c r="B13" s="10" t="inlineStr">
        <is>
          <t>Pumpkin Cat Quail &amp; Pumpkin</t>
        </is>
      </c>
      <c r="C13" s="10" t="n">
        <v>3</v>
      </c>
      <c r="D13" s="10" t="n">
        <v>71</v>
      </c>
      <c r="E13" s="10">
        <f>D13/C13</f>
        <v/>
      </c>
      <c r="H13" s="10" t="inlineStr">
        <is>
          <t>Quail, chicken, herring, eggs, pumpkin, herring oil, sweet potatoes, fructooligosaccharide, calcium carbonate, potassium chloride, vitamin A supplement, vitamin D3 supplement, vitamin E supplement, choline chloride, zinc methionine hydroxy analogue chelate, manganese methionine hydroxy analogue chelate, ferrous glycine, copper methionine hydroxy analogue chelate, DL-methionine, taurine, L-Carnitine.</t>
        </is>
      </c>
      <c r="I13" s="12" t="n"/>
      <c r="K13" s="12" t="n">
        <v>5</v>
      </c>
      <c r="L13" s="13" t="inlineStr">
        <is>
          <t>Poor</t>
        </is>
      </c>
      <c r="M13" s="12" t="n"/>
      <c r="N13" s="12" t="n"/>
      <c r="O13" s="12" t="n"/>
      <c r="P13" s="12" t="n"/>
      <c r="S13" s="20" t="n">
        <v>0</v>
      </c>
      <c r="T13" s="20" t="n">
        <v>100</v>
      </c>
      <c r="U13" s="21" t="inlineStr">
        <is>
          <t>High</t>
        </is>
      </c>
    </row>
    <row r="14">
      <c r="A14" s="10" t="inlineStr">
        <is>
          <t xml:space="preserve">Purina Beyond </t>
        </is>
      </c>
      <c r="B14" s="10" t="inlineStr">
        <is>
          <t>Chicken, Beef &amp; Carrot Recipe in Gravy Canned Cat Food</t>
        </is>
      </c>
      <c r="C14" s="10" t="n">
        <v>3</v>
      </c>
      <c r="D14" s="10" t="n">
        <v>71</v>
      </c>
      <c r="E14" s="10">
        <f>D14/C14</f>
        <v/>
      </c>
      <c r="H14" s="10" t="inlineStr">
        <is>
          <t>Chicken And Beef Broth, Chicken, Liver, Wheat Gluten, Beef, Carrots, Natural Flavor, Egg Product, MINERALS [Potassium Chloride, Magnesium Proteinate, Zinc Sulfate, Ferrous Sulfate, Manganese Sulfate, Copper Sulfate, Potassium Iodide], Xanthan Gum, Tricalcium Phosphate, Taurine, Carrageenan, Choline Chloride, Salt, VITAMINS [Thiamine Mononitrate (Vitamin B-1), Vitamin E Supplement, Niacin (Vitamin B-3), Calcium Pantothenate (Vitamin B-5), Vitamin A Supplement, Menadione Sodium Bisulfite Complex (Vitamin K), Pyridoxine Hydrochloride (Vitamin B-6), Riboflavin Supplement (Vitamin B-2), Vitamin B-12 Supplement, Biotin (Vitamin B-7), Folic Acid (Vitamin B-9), Vitamin D-3 Supplement].</t>
        </is>
      </c>
      <c r="I14" s="11" t="inlineStr">
        <is>
          <t>Y</t>
        </is>
      </c>
      <c r="K14" s="11" t="n">
        <v>0</v>
      </c>
      <c r="L14" s="11" t="inlineStr">
        <is>
          <t>Excellent</t>
        </is>
      </c>
      <c r="M14" s="11" t="n"/>
      <c r="N14" s="11" t="inlineStr">
        <is>
          <t>Y</t>
        </is>
      </c>
      <c r="O14" s="11" t="inlineStr">
        <is>
          <t>Y</t>
        </is>
      </c>
      <c r="P14" s="12" t="n"/>
      <c r="S14" s="20" t="n">
        <v>1</v>
      </c>
      <c r="T14" s="20" t="n">
        <v>44</v>
      </c>
      <c r="U14" s="23" t="inlineStr">
        <is>
          <t>Low</t>
        </is>
      </c>
    </row>
    <row r="15">
      <c r="A15" s="10" t="inlineStr">
        <is>
          <t>fancy feast gems</t>
        </is>
      </c>
      <c r="B15" s="10" t="inlineStr">
        <is>
          <t>beef</t>
        </is>
      </c>
      <c r="C15" s="10" t="n">
        <v>2</v>
      </c>
      <c r="D15" s="10" t="n">
        <v>48</v>
      </c>
      <c r="E15" s="10">
        <f>D15/C15</f>
        <v/>
      </c>
      <c r="H15" s="10" t="inlineStr">
        <is>
          <t xml:space="preserve"> Chicken Broth, Chicken, Meat By-Product, Liver, Beef, Tapioca Starch-Modified, Glycine, Sodium Tripolyphosphate, Natural Flavors, Minerals [Potassium Chloride, Magnesium Sulfate, Zinc Sulfate, Iron Sulfate, Manganese Sulfate, Copper Sulfate, Calcium Iodate], Locust Bean Gum, Guar Gum, Caramel Color, Carrageenan, Taurine, Methyl Cellulose, L-Ascorbic Acid, Vitamins [Vitamin E Supplement, Niacin (Vitamin B-3), Thiamine Mononitrate (Vitamin B-1), Calcium Pantothenate (Vitamin B-5), Riboflavin Supplement (Vitamin B-2), Pyroxidine Hydrochloride (Vitamin B-6), Folic Acid (Vitamin B-9), Vitamin A Supplement, Menadione Sodium Bisulfite Complex (Vitamin K), Biotin (Vitamin B-7), Vitamin B-12 Supplement, Vitamin D-3 Supplement], Choline Chloride.</t>
        </is>
      </c>
      <c r="I15" s="11" t="inlineStr">
        <is>
          <t>Y</t>
        </is>
      </c>
      <c r="K15" s="11" t="n">
        <v>0</v>
      </c>
      <c r="L15" s="11" t="inlineStr">
        <is>
          <t>Excellent</t>
        </is>
      </c>
      <c r="M15" s="11" t="n"/>
      <c r="N15" s="11" t="inlineStr">
        <is>
          <t>Y</t>
        </is>
      </c>
      <c r="O15" s="11" t="inlineStr">
        <is>
          <t>Y</t>
        </is>
      </c>
      <c r="P15" s="12" t="n"/>
      <c r="S15" s="20" t="n">
        <v>0</v>
      </c>
      <c r="T15" s="20" t="n">
        <v>100</v>
      </c>
      <c r="U15" s="21" t="inlineStr">
        <is>
          <t>High</t>
        </is>
      </c>
    </row>
    <row r="16">
      <c r="A16" s="10" t="inlineStr">
        <is>
          <t xml:space="preserve">Wellness CORE </t>
        </is>
      </c>
      <c r="B16" s="10" t="inlineStr">
        <is>
          <t>Signature Selects Shredded Boneless Chicken &amp; Turkey Entree in Sauce Grain-Free Natural</t>
        </is>
      </c>
      <c r="C16" s="10" t="n">
        <v>2.8</v>
      </c>
      <c r="D16" s="10" t="n">
        <v>68</v>
      </c>
      <c r="E16" s="10">
        <f>D16/C16</f>
        <v/>
      </c>
      <c r="H16" s="10" t="inlineStr">
        <is>
          <t>Boneless Chicken, Chicken Broth, Water Sufficient for Processing, Tapioca Starch, Potato Starch, Chicken Liver, Eggs, Turkey, Natural Flavor, Salt, Sunflower Oil, Tricalcium Phosphate, Taurine, Magnesium Sulfate, Guar Gum, Vitamins [Vitamin E Supplement, Thiamine Hydrochloride, Niacin, Vitamin A Supplement, Pyridoxine Hydrochloride, d-Calcium Pantothenate, Riboflavin Supplement, Folic Acid, Vitamin D3 Supplement, Biotin, Vitamin B12 Supplement], Potassium Chloride, Choline Chloride, Minerals [Zinc Amino Acid Chelate, Iron Amino Acid Chelate, Manganese Amino Acid Chelate, Copper Amino Acid Chelate, Potassium Iodide, Sodium Selenite].</t>
        </is>
      </c>
      <c r="I16" s="11" t="inlineStr">
        <is>
          <t>Y</t>
        </is>
      </c>
      <c r="K16" s="11" t="n">
        <v>0</v>
      </c>
      <c r="L16" s="11" t="inlineStr">
        <is>
          <t>Excellent</t>
        </is>
      </c>
      <c r="M16" s="11" t="n"/>
      <c r="N16" s="11" t="inlineStr">
        <is>
          <t>Y</t>
        </is>
      </c>
      <c r="O16" s="11" t="inlineStr">
        <is>
          <t>Y</t>
        </is>
      </c>
      <c r="P16" s="12" t="n"/>
      <c r="S16" s="20" t="n">
        <v>0</v>
      </c>
      <c r="T16" s="20" t="n">
        <v>100</v>
      </c>
      <c r="U16" s="21" t="inlineStr">
        <is>
          <t>High</t>
        </is>
      </c>
    </row>
    <row r="17">
      <c r="A17" s="10" t="inlineStr">
        <is>
          <t xml:space="preserve">AvoDerm </t>
        </is>
      </c>
      <c r="B17" s="10" t="inlineStr">
        <is>
          <t>Natural Grain-Free Chicken Chunks Entree</t>
        </is>
      </c>
      <c r="C17" s="10" t="n">
        <v>3</v>
      </c>
      <c r="D17" s="10" t="n">
        <v>73</v>
      </c>
      <c r="E17" s="10">
        <f>D17/C17</f>
        <v/>
      </c>
      <c r="H17" s="10" t="inlineStr">
        <is>
          <t>Chicken, Chicken Broth, Sunflower Oil, Tapioca Starch, Tricalcium Phosphate, Guar Gum, Salt, Avocado Oil, (Source of Omega 3), Taurine, Minerals (Ferrous Sulfate Monohydrate, Zinc Oxide, Manganese Sulfate Monohydrate, Copper Amino Acid Complex, Sodium Selenite, Potassium Iodide), Choline Chloride, Vitamins (Vitamin A Supplement, Vitamin D3 Supplement, Vitamin E Supplement, Thiamine Mononitrate, Niacin, Calcium Pantothenate, Riboflavin Supplement, Pyridoxine Hydrochloride (Vitamin B6), Folic Acid, Menadion Sodium Bisulfite Complex (Source of Vitamin K Activity), Biotin, Vitamin B12 Supplement), Potassium Chloride, Magnesium Oxide.</t>
        </is>
      </c>
      <c r="I17" s="11" t="inlineStr">
        <is>
          <t>Y</t>
        </is>
      </c>
      <c r="K17" s="11" t="n">
        <v>0</v>
      </c>
      <c r="L17" s="11" t="inlineStr">
        <is>
          <t>Excellent</t>
        </is>
      </c>
      <c r="M17" s="11" t="n"/>
      <c r="N17" s="11" t="inlineStr">
        <is>
          <t>Y</t>
        </is>
      </c>
      <c r="O17" s="11" t="inlineStr">
        <is>
          <t>Y</t>
        </is>
      </c>
      <c r="P17" s="12" t="n"/>
      <c r="S17" s="20" t="n">
        <v>0</v>
      </c>
      <c r="T17" s="20" t="n">
        <v>100</v>
      </c>
      <c r="U17" s="21" t="inlineStr">
        <is>
          <t>High</t>
        </is>
      </c>
    </row>
    <row r="18">
      <c r="A18" s="10" t="inlineStr">
        <is>
          <t>american journey</t>
        </is>
      </c>
      <c r="C18" s="10" t="n">
        <v>5.5</v>
      </c>
      <c r="D18" s="10" t="n">
        <v>134</v>
      </c>
      <c r="E18" s="10">
        <f>D18/C18</f>
        <v/>
      </c>
      <c r="F18" s="10" t="n">
        <v>9</v>
      </c>
      <c r="H18" s="10" t="inlineStr">
        <is>
          <t>Minced Chicken &amp; Tuna Recipe in Gravy Chicken, Chicken Broth, Fish Broth, Chicken Liver, Tuna, Dried Egg White, Peas, Natural Flavor, Dried Egg Product, Guar Gum, Ground Flaxseed, Sodium Phosphate, Salt, Calcium Carbonate, Taurine, Potassium Chloride, Fish Oil (Preserved with Mixed Tocopherols), Cranberries, Blueberries, Minerals (Iron Proteinate, Zinc Proteinate, Copper Proteinate, Manganese Proteinate, Sodium Selenite, Potassium Iodide), Choline Chloride, Vitamins (Thiamine Mononitrate, Vitamin E Supplement, Niacin Supplement, d-Calcium Pantothenate, Pyridoxine Hydrochloride, Riboflavin Supplement, Vitamin A Supplement, Biotin, Vitamin D3 Supplement, Vitamin B12 Supplement, Folic Acid), Sunflower Oil, Inulin, Magnesium Sulfate, DL-Methionine, Rosemary Extract.</t>
        </is>
      </c>
      <c r="I18" s="12" t="n"/>
      <c r="K18" s="12" t="n">
        <v>7</v>
      </c>
      <c r="L18" s="12" t="inlineStr">
        <is>
          <t>Avoid</t>
        </is>
      </c>
      <c r="M18" s="12" t="n"/>
      <c r="N18" s="12" t="n"/>
      <c r="O18" s="12" t="n"/>
      <c r="P18" s="12" t="n"/>
      <c r="Q18" s="10" t="n">
        <v>78</v>
      </c>
      <c r="R18" s="13" t="n">
        <v>40.9</v>
      </c>
      <c r="S18" s="20" t="n">
        <v>0</v>
      </c>
      <c r="T18" s="20" t="n">
        <v>89</v>
      </c>
      <c r="U18" s="21" t="inlineStr">
        <is>
          <t>High</t>
        </is>
      </c>
    </row>
    <row r="19">
      <c r="A19" s="10" t="inlineStr">
        <is>
          <t>fancy feast gems</t>
        </is>
      </c>
      <c r="B19" s="10" t="inlineStr">
        <is>
          <t>tuna</t>
        </is>
      </c>
      <c r="C19" s="10" t="n">
        <v>2</v>
      </c>
      <c r="D19" s="10" t="n">
        <v>49</v>
      </c>
      <c r="E19" s="10">
        <f>D19/C19</f>
        <v/>
      </c>
      <c r="H19" s="10" t="inlineStr">
        <is>
          <t>Chicken Broth, Chicken, Liver, Meat By-Product, Tuna, Tapioca Starch-Modified, Glycine, Sodium Tripolyphosphate, Natural Flavors, MINERALS [Potassium Chloride, Magnesium Sulfate, Zinc Sulfate, Iron Sulfate, Manganese Sulfate, Copper Sulfate, Calcium Iodate], Locust Bean Gum, Guar Gum, Caramel Color, Carrageenan, Taurine, Methyl Cellulose, L-Ascorbic Acid, VITAMINS [Vitamin E Supplement, Niacin (Vitamin B-3), Thiamine Mononitrate (Vitamin B-1), Calcium Pantothenate (Vitamin B-5), Riboflavin Supplement (Vitamin B-2), Pyridoxine Hydrochloride (Vitamin B-6), Folic Acid (Vitamin B-9), Vitamin A Supplement, Menadione Sodium Bisulfite Complex (Vitamin K), Biotin (Vitamin B-7), Vitamin B-12 Supplement], Choline Chloride.</t>
        </is>
      </c>
      <c r="I19" s="12" t="n"/>
      <c r="K19" s="11" t="n">
        <v>0</v>
      </c>
      <c r="L19" s="11" t="inlineStr">
        <is>
          <t>Excellent</t>
        </is>
      </c>
      <c r="M19" s="12" t="n"/>
      <c r="N19" s="12" t="n"/>
      <c r="O19" s="11" t="inlineStr">
        <is>
          <t>Y</t>
        </is>
      </c>
      <c r="P19" s="12" t="n"/>
      <c r="S19" s="20" t="n">
        <v>0</v>
      </c>
      <c r="T19" s="20" t="n">
        <v>100</v>
      </c>
      <c r="U19" s="21" t="inlineStr">
        <is>
          <t>High</t>
        </is>
      </c>
    </row>
    <row r="20">
      <c r="A20" s="10" t="inlineStr">
        <is>
          <t>fancy feast gems</t>
        </is>
      </c>
      <c r="B20" s="10" t="inlineStr">
        <is>
          <t>salmon</t>
        </is>
      </c>
      <c r="C20" s="10" t="n">
        <v>2</v>
      </c>
      <c r="D20" s="10" t="n">
        <v>49</v>
      </c>
      <c r="E20" s="10">
        <f>D20/C20</f>
        <v/>
      </c>
      <c r="H20" s="10" t="inlineStr">
        <is>
          <t>Chicken Broth, Chicken, Meat By-Product, Liver, Salmon, Tapioca Starch-Modified, Glycine, Sodium Tripolyphosphate, Natural Flavors, Minerals [Potassium Chloride, Magnesium Sulfate, Zinc Sulfate, Iron Sulfate, Manganese Sulfate, Copper Sulfate, Calcium Iodate], Locust Bean Gum, Guar Gum, Caramel Color, Carrageenan, Taurine, Methyl Cellulose, L-Ascorbic Acid, Vitamins [Vitamin E Supplement, Niacin (Vitamin B-3), Thiamine Mononitrate (Vitamin B-1), Calcium Pantothenate (Vitamin B-5), Riboflavin Supplement (Vitamin B-2), Pyroxidine Hydrochloride (Vitamin B-6), Folic Acid (Vitamin B-9), Vitamin A Supplement, Menadione Sodium Bisulfite Complex (Vitamin K), Biotin (Vitamin B-7), Vitamin B-12 Supplement, Vitamin D-3 Supplement], Choline Chloride.</t>
        </is>
      </c>
      <c r="I20" s="12" t="n"/>
      <c r="K20" s="11" t="n">
        <v>0</v>
      </c>
      <c r="L20" s="11" t="inlineStr">
        <is>
          <t>Excellent</t>
        </is>
      </c>
      <c r="M20" s="12" t="n"/>
      <c r="N20" s="12" t="n"/>
      <c r="O20" s="11" t="inlineStr">
        <is>
          <t>Y</t>
        </is>
      </c>
      <c r="P20" s="12" t="n"/>
      <c r="S20" s="20" t="n">
        <v>0</v>
      </c>
      <c r="T20" s="20" t="n">
        <v>100</v>
      </c>
      <c r="U20" s="21" t="inlineStr">
        <is>
          <t>High</t>
        </is>
      </c>
    </row>
    <row r="21">
      <c r="A21" s="10" t="inlineStr">
        <is>
          <t>blue buffalo</t>
        </is>
      </c>
      <c r="B21" s="10" t="inlineStr">
        <is>
          <t>w/u</t>
        </is>
      </c>
      <c r="C21" s="10" t="n">
        <v>5.5</v>
      </c>
      <c r="D21" s="10" t="n">
        <v>136</v>
      </c>
      <c r="E21" s="10">
        <f>D21/C21</f>
        <v/>
      </c>
      <c r="F21" s="10" t="n">
        <v>8.5</v>
      </c>
      <c r="H21" s="10" t="inlineStr">
        <is>
          <t>Chicken, Chicken Broth, Chicken Liver, Water, Pea Protein, Powdered Cellulose, Potatoes, Whitefish, Carrots, Natural Flavor, Calcium Sulfate, Flaxseed, Taurine, Betaine Anhydrous, Potassium Chloride, Guar Gum, Blueberries, Cranberries, Carrageenan, Choline Chloride, Salt, DL-Methionine, L-Carnitine, L-Ascorbyl-2-Polyphosphate (source of Vitamin C), Iron Amino Acid Chelate, Zinc Amino Acid Chelate, Vitamin E Supplement, Thiamine Mononitrate (Vitamin B1), Copper Amino Acid Chelate, Manganese Amino Acid Chelate, Sodium Selenite, Niacin Supplement (Vitamin B3), Calcium Pantothenate (Vitamin B5), Pyridoxine Hydrochloride (Vitamin B6), Riboflavin Supplement (Vitamin B2), Vitamin A Supplement, Biotin (Vitamin B7), Potassium Iodide, Vitamin D3 Supplement, Vitamin B12 Supplement, Folic Acid (Vitamin B9).</t>
        </is>
      </c>
      <c r="I21" s="12" t="n"/>
      <c r="K21" s="12" t="n">
        <v>2</v>
      </c>
      <c r="L21" s="14" t="inlineStr">
        <is>
          <t>Moderate</t>
        </is>
      </c>
      <c r="M21" s="12" t="n"/>
      <c r="N21" s="12" t="n"/>
      <c r="O21" s="11" t="inlineStr">
        <is>
          <t>Y</t>
        </is>
      </c>
      <c r="P21" s="12" t="n"/>
      <c r="Q21" s="10" t="n">
        <v>78</v>
      </c>
      <c r="R21" s="13" t="n">
        <v>38.6</v>
      </c>
      <c r="S21" s="20" t="n">
        <v>1</v>
      </c>
      <c r="T21" s="20" t="n">
        <v>32</v>
      </c>
      <c r="U21" s="23" t="inlineStr">
        <is>
          <t>Low</t>
        </is>
      </c>
    </row>
    <row r="22">
      <c r="A22" s="10" t="inlineStr">
        <is>
          <t>fancy feast gems</t>
        </is>
      </c>
      <c r="B22" s="10" t="inlineStr">
        <is>
          <t>chicken</t>
        </is>
      </c>
      <c r="C22" s="10" t="n">
        <v>2</v>
      </c>
      <c r="D22" s="10" t="n">
        <v>50</v>
      </c>
      <c r="E22" s="10">
        <f>D22/C22</f>
        <v/>
      </c>
      <c r="H22" s="10" t="inlineStr">
        <is>
          <t>Chicken Broth, Chicken, Liver, Meat By-Product, Tapioca Starch-Modified, Glycine, Sodium Tripolyphosphate, Natural Flavors, Minerals [Potassium Chloride, Magnesium Sulfate, Zinc Sulfate, Iron Sulfate, Manganese Sulfate, Copper Sulfate, Calcium Iodate], Locust Bean Gum, Guar Gum, Caramel Color, Carrageenan, Taurine, Methyl Cellulose, L-Ascorbic Acid, Vitamins [Vitamin E Supplement, Niacin (Vitamin B-3), Thiamine Mononitrate (Vitamin B-1), Calcium Pantothenate (Vitamin B-5), Riboflavin Supplement (Vitamin B-2), Pyroxidine Hydrochloride (Vitamin B-6), Folic Acid (Vitamin B-9), Vitamin A Supplement, Menadione Sodium Bisulfite Complex (Vitamin K), Biotin (Vitamin B-7), Vitamin B-12 Supplement, Vitamin D-3 Supplement], Choline Chloride.</t>
        </is>
      </c>
      <c r="I22" s="11" t="inlineStr">
        <is>
          <t>Y</t>
        </is>
      </c>
      <c r="K22" s="11" t="n">
        <v>0</v>
      </c>
      <c r="L22" s="11" t="inlineStr">
        <is>
          <t>Excellent</t>
        </is>
      </c>
      <c r="M22" s="11" t="n"/>
      <c r="N22" s="11" t="inlineStr">
        <is>
          <t>Y</t>
        </is>
      </c>
      <c r="O22" s="11" t="inlineStr">
        <is>
          <t>Y</t>
        </is>
      </c>
      <c r="P22" s="12" t="n"/>
      <c r="S22" s="20" t="n">
        <v>0</v>
      </c>
      <c r="T22" s="20" t="n">
        <v>100</v>
      </c>
      <c r="U22" s="21" t="inlineStr">
        <is>
          <t>High</t>
        </is>
      </c>
    </row>
    <row r="23">
      <c r="A23" s="10" t="inlineStr">
        <is>
          <t>Wellness Core</t>
        </is>
      </c>
      <c r="B23" s="10" t="inlineStr">
        <is>
          <t>Signature Selects Flaked Skipjack Tuna &amp; Wild Salmon Entree in Broth Grain-Free Canned Cat Food</t>
        </is>
      </c>
      <c r="C23" s="10" t="n">
        <v>2.8</v>
      </c>
      <c r="D23" s="10" t="n">
        <v>70</v>
      </c>
      <c r="E23" s="10">
        <f>D23/C23</f>
        <v/>
      </c>
      <c r="H23" s="10" t="inlineStr">
        <is>
          <t>Tuna, Tuna Broth, Water Sufficient for Processing, Mackerel, Salmon, Tapioca Starch, Sunflower Oil, Natural Flavor, Guar Gum, Tricalcium Phosphate, Taurine, Magnesium Sulfate, Vitamins [Vitamin E Supplement, Thiamine Hydrochloride, Niacin, Vitamin A Supplement, Pyridoxine Hydrochloride, d-Calcium Pantothenate, Riboflavin Supplement, Folic Acid, Vitamin D3 Supplement, Biotin, Vitamin B12 Supplement, Potassium Chloride, Choline Chloride, Minerals [Zinc Amino Acid Chelate, Iron Amino Acid Chelate, Manganese Amino Acid Chelate, Copper Amino Acid Chelate, Potassium Iodide, Sodium Selenite], Menadione Sodium Bisulfite Complex (Vitamin K).</t>
        </is>
      </c>
      <c r="I23" s="12" t="n"/>
      <c r="K23" s="11" t="n">
        <v>0</v>
      </c>
      <c r="L23" s="11" t="inlineStr">
        <is>
          <t>Excellent</t>
        </is>
      </c>
      <c r="M23" s="12" t="n"/>
      <c r="N23" s="12" t="n"/>
      <c r="O23" s="11" t="inlineStr">
        <is>
          <t>Y</t>
        </is>
      </c>
      <c r="P23" s="12" t="n"/>
      <c r="S23" s="20" t="n">
        <v>0</v>
      </c>
      <c r="T23" s="20" t="n">
        <v>100</v>
      </c>
      <c r="U23" s="21" t="inlineStr">
        <is>
          <t>High</t>
        </is>
      </c>
    </row>
    <row r="24">
      <c r="A24" s="10" t="inlineStr">
        <is>
          <t>Iams Indoor</t>
        </is>
      </c>
      <c r="B24" s="10" t="inlineStr">
        <is>
          <t>tuna</t>
        </is>
      </c>
      <c r="C24" s="10" t="n">
        <v>3</v>
      </c>
      <c r="D24" s="10">
        <f>38*2</f>
        <v/>
      </c>
      <c r="E24" s="10">
        <f>D24/C24</f>
        <v/>
      </c>
      <c r="H24" s="10" t="inlineStr">
        <is>
          <t>Water, Chicken, Tuna, Chicken Liver, Meat By-Products, Tapioca Starch, Chicken Broth, Dried Egg Product, Dried Plain Beet Pulp, Glycine, Sodium Tripolyphosphate, Potassium Chloride, Fish Oil (preserved with Mixed Tocopherols), Salt, Natural Flavor, Magnesium Sulfate, Xanthan Gum, Choline Chloride, Taurine, Fructooligosaccharides, DL-Methionine, Vitamin E Supplement, Thiamine Mononitrate (Vitamin B1), Guar Gum, Zinc Sulfate, Iron Oxide Color, Ferrous Sulfate, Manganese Sulfate, Copper Sulfate, Pyridoxine Hydrochloride (Vitamin B6), Vitamin D3 Supplement, Folic Acid, Potassium Iodide, Menadione Sodium Bisulfite Complex (Source of Vitamin K).</t>
        </is>
      </c>
      <c r="I24" s="12" t="n"/>
      <c r="K24" s="12" t="n">
        <v>6.5</v>
      </c>
      <c r="L24" s="12" t="inlineStr">
        <is>
          <t>Avoid</t>
        </is>
      </c>
      <c r="M24" s="12" t="n"/>
      <c r="N24" s="12" t="n"/>
      <c r="O24" s="12" t="n"/>
      <c r="P24" s="12" t="n"/>
      <c r="S24" s="20" t="n">
        <v>0</v>
      </c>
      <c r="T24" s="20" t="n">
        <v>100</v>
      </c>
      <c r="U24" s="21" t="inlineStr">
        <is>
          <t>High</t>
        </is>
      </c>
    </row>
    <row r="25">
      <c r="A25" s="10" t="inlineStr">
        <is>
          <t>Iams Indoor</t>
        </is>
      </c>
      <c r="B25" s="10" t="inlineStr">
        <is>
          <t>salmon pate</t>
        </is>
      </c>
      <c r="C25" s="10" t="n">
        <v>3</v>
      </c>
      <c r="D25" s="10">
        <f>38*2</f>
        <v/>
      </c>
      <c r="E25" s="10">
        <f>D25/C25</f>
        <v/>
      </c>
      <c r="H25" s="10" t="inlineStr">
        <is>
          <t>Chicken, Water, Salmon, Poultry Liver, Chicken Broth, Dried Egg Product, Dried Plain Beet Pulp, Calcium Carbonate, Guar Gum, Potassium Chloride, Sodium Tripolyphosphate, Fish Oil, Magnesium Sulfate, Taurine, Choline Chloride, Tapioca Starch, Fructooligosaccharides, Salt, DL-Methionine, Vitamin E Supplement, Thiamine Mononitrate, Iron Oxide Color, Zinc Sulfate, Ferrous Sulfate, Manganese Sulfate, Copper Sulfate, Pyridoxine Hydrochloride, Vitamin D3 Supplement, Folic Acid, Potassium Iodide, Menadione Sodium Bisulfite Complex.</t>
        </is>
      </c>
      <c r="I25" s="12" t="n"/>
      <c r="K25" s="12" t="n">
        <v>6.5</v>
      </c>
      <c r="L25" s="12" t="inlineStr">
        <is>
          <t>Avoid</t>
        </is>
      </c>
      <c r="M25" s="12" t="n"/>
      <c r="N25" s="12" t="n"/>
      <c r="O25" s="12" t="n"/>
      <c r="P25" s="12" t="n"/>
      <c r="S25" s="20" t="n">
        <v>0</v>
      </c>
      <c r="T25" s="20" t="n">
        <v>100</v>
      </c>
      <c r="U25" s="21" t="inlineStr">
        <is>
          <t>High</t>
        </is>
      </c>
    </row>
    <row r="26">
      <c r="A26" s="10" t="inlineStr">
        <is>
          <t>ProPlan 11+</t>
        </is>
      </c>
      <c r="B26" s="10" t="inlineStr">
        <is>
          <t>Salmon &amp; Tuna</t>
        </is>
      </c>
      <c r="C26" s="10" t="n">
        <v>3</v>
      </c>
      <c r="D26" s="10" t="n">
        <v>76</v>
      </c>
      <c r="E26" s="10">
        <f>D26/C26</f>
        <v/>
      </c>
      <c r="H26" s="10" t="inlineStr">
        <is>
          <t>Salmon, Liver, Water, Meat By-Products, Fish, Chicken, Tuna, Artificial And Natural Flavors, Minerals [Potassium Chloride, Zinc Sulfate, Ferrous Sulfate, Manganese Sulfate, Copper Sulfate, Potassium Iodide], Tricalcium Phosphate, Guar Gum, Taurine, Vitamins [Vitamin E Supplement, Thiamine Mononitrate (Vitamin B-1), Niacin (Vitamin B-3), Calcium Pantothenate (Vitamin B-5), Vitamin A Supplement, Menadione Sodium Bisulfite Complex (Vitamin K), Pyridoxine Hydrochloride (Vitamin B-6), Riboflavin Supplement (Vitamin B-2), Vitamin B-12 Supplement, Biotin (Vitamin B-7), Folic Acid (Vitamin B9), Vitamin D-3 Supplement], Salt, Citric Acid, L-Ascorbyl-2-Polyphosphate (Vitamin C), Choline Chloride</t>
        </is>
      </c>
      <c r="I26" s="12" t="n"/>
      <c r="K26" s="11" t="n">
        <v>0</v>
      </c>
      <c r="L26" s="11" t="inlineStr">
        <is>
          <t>Excellent</t>
        </is>
      </c>
      <c r="M26" s="12" t="n"/>
      <c r="N26" s="12" t="n"/>
      <c r="O26" s="11" t="inlineStr">
        <is>
          <t>Y</t>
        </is>
      </c>
      <c r="P26" s="12" t="n"/>
      <c r="S26" s="20" t="n">
        <v>0</v>
      </c>
      <c r="T26" s="20" t="n">
        <v>100</v>
      </c>
      <c r="U26" s="21" t="inlineStr">
        <is>
          <t>High</t>
        </is>
      </c>
    </row>
    <row r="27">
      <c r="A27" s="10" t="inlineStr">
        <is>
          <t>american journey</t>
        </is>
      </c>
      <c r="B27" s="10" t="inlineStr">
        <is>
          <t>Tuna &amp; Tilapia</t>
        </is>
      </c>
      <c r="C27" s="10" t="n">
        <v>3</v>
      </c>
      <c r="D27" s="10" t="n">
        <v>79</v>
      </c>
      <c r="E27" s="10">
        <f>D27/C27</f>
        <v/>
      </c>
      <c r="H27" s="10" t="inlineStr">
        <is>
          <t>Tuna, Fish Broth, Seabream, Tilapia, Sunflower Oil, Potassium Chloride, Tricalcium Phosphate, Magnesium Sulfate, Taurine, Choline Chloride, Salt, Vitamin E Supplement, Zinc Oxide, Reduced Iron, Niacin Supplement, Thiamine Mononitrate, Vitamin A Supplement, Sodium Selenite, Vitamin B12 Supplement, Manganese Sulfate, Pyridoxine Hydrochloride, Copper Amino Acid Complex, d-Calcium Pantothenate, Riboflavin Supplement, Biotin Supplement, Vitamin D3 Supplement, Folic Acid, Potassium Iodide, Menadione Sodium Bisulfite Complex (Source of Vitamin K).</t>
        </is>
      </c>
      <c r="I27" s="12" t="n"/>
      <c r="K27" s="11" t="n">
        <v>0</v>
      </c>
      <c r="L27" s="11" t="inlineStr">
        <is>
          <t>Excellent</t>
        </is>
      </c>
      <c r="M27" s="12" t="n"/>
      <c r="N27" s="12" t="n"/>
      <c r="O27" s="11" t="inlineStr">
        <is>
          <t>Y</t>
        </is>
      </c>
      <c r="P27" s="12" t="n"/>
      <c r="S27" s="20" t="n">
        <v>0</v>
      </c>
      <c r="T27" s="20" t="n">
        <v>100</v>
      </c>
      <c r="U27" s="21" t="inlineStr">
        <is>
          <t>High</t>
        </is>
      </c>
    </row>
    <row r="28">
      <c r="A28" s="10" t="inlineStr">
        <is>
          <t xml:space="preserve">rayne </t>
        </is>
      </c>
      <c r="B28" s="10" t="inlineStr">
        <is>
          <t>kangaroo - maint</t>
        </is>
      </c>
      <c r="C28" s="10" t="n">
        <v>5.5</v>
      </c>
      <c r="D28" s="10" t="n">
        <v>145</v>
      </c>
      <c r="E28" s="10">
        <f>D28/C28</f>
        <v/>
      </c>
      <c r="H28" s="10" t="inlineStr">
        <is>
          <t>Kangaroo, water, kangaroo liver, dried potatoes, sunflower oil, dried sweet potatoes, natural flavor, dried celery, agar-agar, marine microalgae oil, inulin, potassium chloride, salt, choline chloride, taurine, minerals, vitamins</t>
        </is>
      </c>
      <c r="I28" s="11" t="inlineStr">
        <is>
          <t>Y</t>
        </is>
      </c>
      <c r="K28" s="12" t="n">
        <v>5</v>
      </c>
      <c r="L28" s="13" t="inlineStr">
        <is>
          <t>Poor</t>
        </is>
      </c>
      <c r="M28" s="11" t="n"/>
      <c r="N28" s="11" t="inlineStr">
        <is>
          <t>Y</t>
        </is>
      </c>
      <c r="O28" s="12" t="n"/>
      <c r="P28" s="12" t="n"/>
      <c r="S28" s="20" t="n">
        <v>0</v>
      </c>
      <c r="T28" s="20" t="inlineStr"/>
      <c r="U28" s="24" t="inlineStr">
        <is>
          <t>?</t>
        </is>
      </c>
    </row>
    <row r="29">
      <c r="A29" s="10" t="inlineStr">
        <is>
          <t>sheba</t>
        </is>
      </c>
      <c r="B29" s="10" t="inlineStr">
        <is>
          <t>salmon</t>
        </is>
      </c>
      <c r="C29" s="10">
        <f>1.32*2</f>
        <v/>
      </c>
      <c r="D29" s="10">
        <f>35*2</f>
        <v/>
      </c>
      <c r="E29" s="10">
        <f>D29/C29</f>
        <v/>
      </c>
      <c r="H29" s="10" t="inlineStr">
        <is>
          <t>Chicken, Water, Salmon, Poultry By-Products, Chicken Broth, Guar Gum, Potassium Chloride, Sodium Tripolyphosphate, Fish Oil, Choline Chloride, Magnesium Sulfate, Tapioca Starch, DL-Methionine, Taurine, Salt, Thiamine Mononitrate, Vitamin E Supplement, Iron Oxide Color, Zinc Sulfate, Ferrous Sulfate, Manganese Sulfate, Copper Sulfate, Pyridoxine Hydrochloride, Potassium Iodide, Vitamin D3 Supplement, Folic Acid, Menadione Sodium Bisulfite Complex</t>
        </is>
      </c>
      <c r="I29" s="12" t="n"/>
      <c r="K29" s="11" t="n">
        <v>0</v>
      </c>
      <c r="L29" s="11" t="inlineStr">
        <is>
          <t>Excellent</t>
        </is>
      </c>
      <c r="M29" s="12" t="n"/>
      <c r="N29" s="12" t="n"/>
      <c r="O29" s="11" t="inlineStr">
        <is>
          <t>Y</t>
        </is>
      </c>
      <c r="P29" s="12" t="n"/>
      <c r="S29" s="20" t="n">
        <v>0</v>
      </c>
      <c r="T29" s="20" t="n">
        <v>100</v>
      </c>
      <c r="U29" s="21" t="inlineStr">
        <is>
          <t>High</t>
        </is>
      </c>
    </row>
    <row r="30">
      <c r="A30" s="10" t="inlineStr">
        <is>
          <t>Instinct</t>
        </is>
      </c>
      <c r="B30" s="10" t="inlineStr">
        <is>
          <t>Instinct Salmon Entree Grain-Free Flaked Wet Cat Food</t>
        </is>
      </c>
      <c r="C30" s="10" t="n">
        <v>3</v>
      </c>
      <c r="D30" s="10" t="n">
        <v>83</v>
      </c>
      <c r="E30" s="10">
        <f>D30/C30</f>
        <v/>
      </c>
      <c r="H30" s="10" t="inlineStr">
        <is>
          <t>Salmon Broth, Salmon, Chicken, Chicken Liver, Natural Flavor, Egg Product, Spinach, Carrots, Dried Ground Peas, Salt, Guar Gum, Montmorillonite Clay, Sunflower Oil, Sodium Phosphate, Calcium Carbonate, Potassium Chloride, Menhaden Fish Oil (Preserved With Mixed Tocopherols), Ground Flaxseed, Minerals (Iron Proteinate, Zinc Proteinate, Copper Proteinate, Manganese Proteinate, Sodium Selenite, Potassium Iodide), Choline Chloride, Vitamins (Thiamine Mononitrate, Vitamin E Supplement, Niacin Supplement, D-Calcium Pantothenate, Pyridoxine Hydrochloride, Riboflavin Supplement, Vitamin A Supplement, Biotin, Vitamin D3Supplement, Vitamin B12 Supplement, Folic Acid), Taurine, Dried Kelp, Cassia Gum, Xanthan Gum, Artichokes, Cranberries, Pumpkin, Tomato, Blueberries, Broccoli, Cabbage, Kale, Parsley.</t>
        </is>
      </c>
      <c r="I30" s="12" t="n"/>
      <c r="K30" s="12" t="n">
        <v>2</v>
      </c>
      <c r="L30" s="14" t="inlineStr">
        <is>
          <t>Moderate</t>
        </is>
      </c>
      <c r="M30" s="12" t="n"/>
      <c r="N30" s="12" t="n"/>
      <c r="O30" s="11" t="inlineStr">
        <is>
          <t>Y</t>
        </is>
      </c>
      <c r="P30" s="12" t="n"/>
      <c r="S30" s="20" t="n">
        <v>0</v>
      </c>
      <c r="T30" s="20" t="n">
        <v>84</v>
      </c>
      <c r="U30" s="22" t="inlineStr">
        <is>
          <t>Mod</t>
        </is>
      </c>
    </row>
    <row r="31">
      <c r="A31" s="10" t="inlineStr">
        <is>
          <t>Acana</t>
        </is>
      </c>
      <c r="B31" s="10" t="inlineStr">
        <is>
          <t>Premium pate lamb &amp; liver</t>
        </is>
      </c>
      <c r="C31" s="10" t="n">
        <v>3</v>
      </c>
      <c r="D31" s="10" t="n">
        <v>85</v>
      </c>
      <c r="E31" s="10">
        <f>D31/C31</f>
        <v/>
      </c>
      <c r="H31" s="10" t="inlineStr">
        <is>
          <t>Lamb, Lamb Liver, Beef Bone Broth, Chicken Bone Broth, Lamb Kidney, Chicken, Chicken Liver, Pumpkin, Locust Bean Gum, Taurine, Sunflower Oil, Tricalcium Phosphate, Salt, Vitamins [Vitamin E Supplement, Thiamine Mononitrate, Niacin, Vitamin A Supplement, Pyridoxine Hydrochloride, Calcium Pantothenate, Riboflavin Supplement, Folic Acid, Vitamin D3 Supplement, Biotin, Vitamin B12 Supplement], Guar Gum, Minerals [Potassium Chloride, Magnesium Sulfate, Zinc Amino Acid Chelate, Iron Amino Acid Chelate, Copper Amino Acid Chelate, Manganese Amino Acid Chelate, Sodium Selenite, Potassium Iodide], Choline Chloride.</t>
        </is>
      </c>
      <c r="I31" s="11" t="inlineStr">
        <is>
          <t>Y</t>
        </is>
      </c>
      <c r="K31" s="11" t="n">
        <v>0</v>
      </c>
      <c r="L31" s="11" t="inlineStr">
        <is>
          <t>Excellent</t>
        </is>
      </c>
      <c r="M31" s="11" t="n"/>
      <c r="N31" s="11" t="inlineStr">
        <is>
          <t>Y</t>
        </is>
      </c>
      <c r="O31" s="11" t="inlineStr">
        <is>
          <t>Y</t>
        </is>
      </c>
      <c r="P31" s="12" t="n"/>
      <c r="S31" s="20" t="n">
        <v>0</v>
      </c>
      <c r="T31" s="20" t="n">
        <v>100</v>
      </c>
      <c r="U31" s="21" t="inlineStr">
        <is>
          <t>High</t>
        </is>
      </c>
    </row>
    <row r="32">
      <c r="A32" s="10" t="inlineStr">
        <is>
          <t>orijen</t>
        </is>
      </c>
      <c r="B32" s="10" t="inlineStr">
        <is>
          <t>regional red</t>
        </is>
      </c>
      <c r="C32" s="10" t="n">
        <v>3</v>
      </c>
      <c r="D32" s="10" t="n">
        <v>85</v>
      </c>
      <c r="E32" s="10">
        <f>D32/C32</f>
        <v/>
      </c>
      <c r="H32" s="10" t="inlineStr">
        <is>
          <t>Lamb, Beef, Beef Kidney, Chicken, Salmon, Whole Sardine, Lamb Kidney, Beef Bone Broth, Fish Bone Broth, Lamb Liver, Beef Liver, Taurine, Salt, Vitamins [Vitamin E Supplement, Thiamine Mononitrate, Niacin, Vitamin A Supplement, Pyridoxine Hydrochloride, Calcium Pantothenate, Riboflavin Supplement, Folic Acid, Vitamin D3 Supplement, Biotin, Vitamin B12 Supplement], Minerals [Potassium Chloride, Magnesium Sulfate, Zinc Amino Acid Chelate, Iron Amino Acid Chelate, Manganese Amino Acid Chelate, Copper Amino Acid Chelate, Sodium Selenite, Potassium Iodide], Choline Chloride.</t>
        </is>
      </c>
      <c r="I32" s="12" t="n"/>
      <c r="K32" s="11" t="n">
        <v>0</v>
      </c>
      <c r="L32" s="11" t="inlineStr">
        <is>
          <t>Excellent</t>
        </is>
      </c>
      <c r="M32" s="12" t="n"/>
      <c r="N32" s="12" t="n"/>
      <c r="O32" s="11" t="inlineStr">
        <is>
          <t>Y</t>
        </is>
      </c>
      <c r="P32" s="12" t="n"/>
      <c r="S32" s="20" t="n">
        <v>0</v>
      </c>
      <c r="T32" s="20" t="n">
        <v>100</v>
      </c>
      <c r="U32" s="21" t="inlineStr">
        <is>
          <t>High</t>
        </is>
      </c>
    </row>
    <row r="33">
      <c r="A33" s="10" t="inlineStr">
        <is>
          <t>Wellness Core</t>
        </is>
      </c>
      <c r="B33" s="10" t="inlineStr">
        <is>
          <t>Grain-Free Salmon, Whitefish &amp; Herring</t>
        </is>
      </c>
      <c r="C33" s="10" t="n">
        <v>3</v>
      </c>
      <c r="D33" s="10" t="n">
        <v>85</v>
      </c>
      <c r="E33" s="10">
        <f>D33/C33</f>
        <v/>
      </c>
      <c r="H33" s="10" t="inlineStr">
        <is>
          <t>Whitefish, Salmon Broth, Salmon, Tuna, Herring, Dried Ground Potatoes, Ground Flaxseed, Sunflower Oil, Guar Gum, Cassia Gum, Xanthan Gum, Dried Chicory Root, Potassium Chloride, Taurine, Fish Oil (Preserved with Mixed Tocopherols), Cranberries, Choline Chloride, Dried Kelp, Yucca Schidigera Extract, Salt, Vitamin E Supplement, Zinc Proteinate, Magnesium Sulfate, Iron Proteinate, Tricalcium Phosphate, Thiamine Mononitrate, Copper Proteinate, Manganese Proteinate, Niacin Supplement, Sodium Selenite, d-Calcium Pantothenate, Pyridoxine Hydrochloride, Riboflavin Supplement, Vitamin A Supplement, Biotin, Potassium Iodide, Vitamin D3 Supplement, Vitamin B12 Supplement, Folic Acid.</t>
        </is>
      </c>
      <c r="I33" s="12" t="n"/>
      <c r="K33" s="12" t="n">
        <v>5</v>
      </c>
      <c r="L33" s="13" t="inlineStr">
        <is>
          <t>Poor</t>
        </is>
      </c>
      <c r="M33" s="12" t="n"/>
      <c r="N33" s="12" t="n"/>
      <c r="O33" s="12" t="n"/>
      <c r="P33" s="12" t="n"/>
      <c r="S33" s="20" t="n">
        <v>0</v>
      </c>
      <c r="T33" s="20" t="n">
        <v>100</v>
      </c>
      <c r="U33" s="21" t="inlineStr">
        <is>
          <t>High</t>
        </is>
      </c>
    </row>
    <row r="34">
      <c r="A34" s="10" t="inlineStr">
        <is>
          <t>Instinct</t>
        </is>
      </c>
      <c r="B34" s="10" t="inlineStr">
        <is>
          <t>Limited Ingredient Diet Real Rabbit Recipe Grain-Free Pate</t>
        </is>
      </c>
      <c r="C34" s="10" t="n">
        <v>3</v>
      </c>
      <c r="D34" s="10" t="n">
        <v>85</v>
      </c>
      <c r="E34" s="10">
        <f>D34/C34</f>
        <v/>
      </c>
      <c r="H34" s="10" t="inlineStr">
        <is>
          <t>Rabbit, Water, Pea Protein, Peas, Rabbit Liver, Montmorillonite Clay, Potassium Chloride, Salt, Minerals (Iron Proteinate, Zinc Proteinate, Copper Proteinate, Manganese Proteinate, Sodium Selenite, Potassium Iodide), Choline Chloride, Vitamins (Vitamin E Supplement, Thiamine Mononitrate, Niacin Supplement, D-Calcium Pantothenate, Pyridoxine Hydrochloride, Riboflavin Supplement, Vitamin A Supplement, Biotin, Vitamin D3 Supplement, Vitamin B12 Supplement, Folic Acid), Taurine, L-Ascorbyl-2-Polyphosphate</t>
        </is>
      </c>
      <c r="I34" s="11" t="inlineStr">
        <is>
          <t>Y</t>
        </is>
      </c>
      <c r="K34" s="12" t="n">
        <v>2</v>
      </c>
      <c r="L34" s="14" t="inlineStr">
        <is>
          <t>Moderate</t>
        </is>
      </c>
      <c r="M34" s="12" t="n"/>
      <c r="N34" s="12" t="n"/>
      <c r="O34" s="11" t="inlineStr">
        <is>
          <t>Y</t>
        </is>
      </c>
      <c r="P34" s="12" t="n"/>
      <c r="S34" s="20" t="n">
        <v>1</v>
      </c>
      <c r="T34" s="20" t="n">
        <v>14</v>
      </c>
      <c r="U34" s="23" t="inlineStr">
        <is>
          <t>Low</t>
        </is>
      </c>
    </row>
    <row r="35">
      <c r="A35" s="10" t="inlineStr">
        <is>
          <t>royal canin</t>
        </is>
      </c>
      <c r="B35" s="10" t="inlineStr">
        <is>
          <t>PR Selected protein pea &amp; rabbit</t>
        </is>
      </c>
      <c r="C35" s="10" t="n">
        <v>5.1</v>
      </c>
      <c r="D35" s="10" t="n">
        <v>146</v>
      </c>
      <c r="E35" s="10">
        <f>D35/C35</f>
        <v/>
      </c>
    </row>
    <row r="36">
      <c r="A36" s="10" t="inlineStr">
        <is>
          <t>sheba</t>
        </is>
      </c>
      <c r="B36" s="10" t="inlineStr">
        <is>
          <t>seafood</t>
        </is>
      </c>
      <c r="C36" s="10">
        <f>1.32*2</f>
        <v/>
      </c>
      <c r="D36" s="10">
        <f>38*2</f>
        <v/>
      </c>
      <c r="E36" s="10">
        <f>D36/C36</f>
        <v/>
      </c>
      <c r="H36" s="10" t="inlineStr">
        <is>
          <t>Chicken, Water, White Fish, Poultry By-Product, Chicken Broth, Guar Gum, Potassium Chloride, Sodium Tripolyphosphate, Fish Oil, Choline Chloride, Magnesium Sulfate, Tapioca Starch, DL-Methionine, Taurine, Salt, Thiamine Mononitrate, Vitamin E Supplement, Zinc Sulfate, Ferrous Sulfate, Manganese Sulfate, Copper Sulfate, Pyridoxine Hydrochloride, Potassium Iodide, Vitamin D3 Supplement, Folic Acid, Menadione Sodium Bisulfite Complex</t>
        </is>
      </c>
      <c r="I36" s="12" t="n"/>
      <c r="K36" s="11" t="n">
        <v>0</v>
      </c>
      <c r="L36" s="11" t="inlineStr">
        <is>
          <t>Excellent</t>
        </is>
      </c>
      <c r="M36" s="12" t="n"/>
      <c r="N36" s="12" t="n"/>
      <c r="O36" s="11" t="inlineStr">
        <is>
          <t>Y</t>
        </is>
      </c>
      <c r="P36" s="12" t="n"/>
      <c r="S36" s="20" t="n">
        <v>0</v>
      </c>
      <c r="T36" s="20" t="n">
        <v>100</v>
      </c>
      <c r="U36" s="21" t="inlineStr">
        <is>
          <t>High</t>
        </is>
      </c>
    </row>
    <row r="37">
      <c r="A37" s="10" t="inlineStr">
        <is>
          <t>sheba</t>
        </is>
      </c>
      <c r="B37" s="10" t="inlineStr">
        <is>
          <t>whitefish &amp; tuna</t>
        </is>
      </c>
      <c r="C37" s="10">
        <f>1.32*2</f>
        <v/>
      </c>
      <c r="D37" s="10">
        <f>38*2</f>
        <v/>
      </c>
      <c r="E37" s="10">
        <f>D37/C37</f>
        <v/>
      </c>
      <c r="H37" s="10" t="inlineStr">
        <is>
          <t>Chicken, Water, Poultry By-Products, White Fish, Chicken Broth, Tuna, Guar Gum, Potassium Chloride, Sodium Tripolyphosphate, Fish Oil, Choline Chloride, Magnesium Sulfate, Tapioca Starch, DL-Methionine, Taurine, Salt, Thiamine Mononitrate, Vitamin E Supplement, Zinc Sulfate, Ferrous Sulfate, Manganese Sulfate, Copper Sulfate, Pyridoxine Hydrochloride, Potassium Iodide, Vitamin D3 Supplement, Folic Acid, Menadione Sodium Bisulfite Complex</t>
        </is>
      </c>
      <c r="I37" s="12" t="n"/>
      <c r="K37" s="11" t="n">
        <v>0</v>
      </c>
      <c r="L37" s="11" t="inlineStr">
        <is>
          <t>Excellent</t>
        </is>
      </c>
      <c r="M37" s="12" t="n"/>
      <c r="N37" s="12" t="n"/>
      <c r="O37" s="11" t="inlineStr">
        <is>
          <t>Y</t>
        </is>
      </c>
      <c r="P37" s="12" t="n"/>
      <c r="S37" s="20" t="n">
        <v>0</v>
      </c>
      <c r="T37" s="20" t="n">
        <v>100</v>
      </c>
      <c r="U37" s="21" t="inlineStr">
        <is>
          <t>High</t>
        </is>
      </c>
    </row>
    <row r="38">
      <c r="A38" s="10" t="inlineStr">
        <is>
          <t>Pro Plan</t>
        </is>
      </c>
      <c r="B38" s="10" t="inlineStr">
        <is>
          <t>Duck</t>
        </is>
      </c>
      <c r="C38" s="10" t="n">
        <v>3</v>
      </c>
      <c r="D38" s="10" t="n">
        <v>87</v>
      </c>
      <c r="E38" s="10">
        <f>D38/C38</f>
        <v/>
      </c>
      <c r="H38" s="10" t="inlineStr">
        <is>
          <t>Duck, Liver, Meat By-Products, Water Sufficient For Processing, Ocean Whitefish, Inulin, Essential Nutrients And Other Ingredients: Minerals (Potassium Chloride, Tricalcium Phosphate, Salt, Zinc Sulfate, Ferrous Sulfate, Manganese Sulfate, Copper Sulfate, Potassium Iodide), Vitamins (Choline, Vitamin E, Vitamin B-1, Vitamin B-3, Vitamin B-5, Vitamin A, Vitamin K, Vitamin B-6, Vitamin B-2, Vitamin B-12, Vitamin B-7, Folic Acid, Vitamin D-3), Guar Gum, Taurine.</t>
        </is>
      </c>
      <c r="I38" s="12" t="n"/>
      <c r="K38" s="12" t="n">
        <v>5</v>
      </c>
      <c r="L38" s="13" t="inlineStr">
        <is>
          <t>Poor</t>
        </is>
      </c>
      <c r="M38" s="12" t="n"/>
      <c r="N38" s="12" t="n"/>
      <c r="O38" s="12" t="n"/>
      <c r="P38" s="12" t="n"/>
      <c r="S38" s="20" t="n">
        <v>0</v>
      </c>
      <c r="T38" s="20" t="n">
        <v>100</v>
      </c>
      <c r="U38" s="21" t="inlineStr">
        <is>
          <t>High</t>
        </is>
      </c>
    </row>
    <row r="39">
      <c r="A39" s="10" t="inlineStr">
        <is>
          <t>Purina One</t>
        </is>
      </c>
      <c r="B39" s="10" t="inlineStr">
        <is>
          <t>Indoor Advantage 7+ Chicken &amp; Ocean Fish</t>
        </is>
      </c>
      <c r="C39" s="10" t="n">
        <v>3</v>
      </c>
      <c r="D39" s="10" t="n">
        <v>87</v>
      </c>
      <c r="E39" s="10">
        <f>D39/C39</f>
        <v/>
      </c>
      <c r="H39" s="10" t="inlineStr">
        <is>
          <t>Salmon, Liver, Water, Meat By-Products, Fish, Chicken, Tuna, Artificial And Natural Flavors, Minerals [Potassium Chloride, Zinc Sulfate, Ferrous Sulfate, Manganese Sulfate, Copper Sulfate, Potassium Iodide], Tricalcium Phosphate, Guar Gum, Taurine, Vitamins [Vitamin E Supplement, Thiamine Mononitrate (Vitamin B-1), Niacin (Vitamin B-3), Calcium Pantothenate (Vitamin B-5), Vitamin A Supplement, Menadione Sodium Bisulfite Complex (Vitamin K), Pyridoxine Hydrochloride (Vitamin B-6), Riboflavin Supplement (Vitamin B-2), Vitamin B-12 Supplement, Biotin (Vitamin B-7), Folic Acid (Vitamin B9), Vitamin D-3 Supplement], Salt, Citric Acid, L-Ascorbyl-2-Polyphosphate (Vitamin C), Choline Chloride.</t>
        </is>
      </c>
      <c r="I39" s="12" t="n"/>
      <c r="K39" s="11" t="n">
        <v>0</v>
      </c>
      <c r="L39" s="11" t="inlineStr">
        <is>
          <t>Excellent</t>
        </is>
      </c>
      <c r="M39" s="12" t="n"/>
      <c r="N39" s="12" t="n"/>
      <c r="O39" s="11" t="inlineStr">
        <is>
          <t>Y</t>
        </is>
      </c>
      <c r="P39" s="12" t="n"/>
      <c r="S39" s="20" t="n">
        <v>0</v>
      </c>
      <c r="T39" s="20" t="n">
        <v>100</v>
      </c>
      <c r="U39" s="21" t="inlineStr">
        <is>
          <t>High</t>
        </is>
      </c>
    </row>
    <row r="40">
      <c r="A40" s="10" t="inlineStr">
        <is>
          <t>blue buffalo</t>
        </is>
      </c>
      <c r="B40" s="10" t="inlineStr">
        <is>
          <t>Natural Veterinary Diet HF Hydrolyzed for Food Intolerance Salmon Wet Cat Food</t>
        </is>
      </c>
      <c r="C40" s="10" t="n">
        <v>5.5</v>
      </c>
      <c r="D40" s="10" t="n">
        <v>161</v>
      </c>
      <c r="E40" s="10">
        <f>D40/C40</f>
        <v/>
      </c>
      <c r="H40" s="10" t="inlineStr">
        <is>
          <t>Salmon Hydrolysate, Water, Potato Starch, Natural Flavor, Pea Fiber, Agar-agar, Calcium Sulfate, Guar Gum, Flaxseed (source of Omega 3 and 6 Fatty Acids), Tricalcium Phosphate, Fish Oil, Cane Molasses, Taurine, Sunflower Oil, Potassium Chloride, Sodium Acid Pyrophosphate, Calcium Carbonate, Choline Chloride, Salt, L-Ascorbyl-2-Polyphosphate (source of Vitamin C), Vitamin E Supplement, Magnesium Sulfate, Menadione Sodium Bisulfate Complex (source of Vitamin K), L-Tryptophan, Iron Amino Acid Chelate, Zinc Amino Acid Chelate, Copper Amino Acid Chelate, Thiamine Mononitrate (Vitamin B1), Manganese Amino Acid Chelate, Sodium Selenite, Niacin Supplement (Vitamin B3), Calcium Pantothenate (Vitamin B5), Pyridoxine Hydrochloride (Vitamin B6), Riboflavin Supplement (Vitamin B2), Potassium Iodide, Vitamin A Supplement, Biotin (Vitamin B7), Vitamin D3 Supplement, Vitamin B12 Supplement, Folic Acid (Vitamin B9), preserved with Mixed Tocopherols.</t>
        </is>
      </c>
      <c r="I40" s="12" t="n"/>
      <c r="K40" s="12" t="n">
        <v>1.5</v>
      </c>
      <c r="L40" s="14" t="inlineStr">
        <is>
          <t>Moderate</t>
        </is>
      </c>
      <c r="M40" s="12" t="n"/>
      <c r="N40" s="12" t="n"/>
      <c r="O40" s="11" t="inlineStr">
        <is>
          <t>Y</t>
        </is>
      </c>
      <c r="P40" s="12" t="n"/>
      <c r="S40" s="20" t="n">
        <v>0</v>
      </c>
      <c r="T40" s="20" t="n">
        <v>100</v>
      </c>
      <c r="U40" s="21" t="inlineStr">
        <is>
          <t>High</t>
        </is>
      </c>
    </row>
    <row r="41">
      <c r="A41" s="10" t="inlineStr">
        <is>
          <t>fancy feast petites pate</t>
        </is>
      </c>
      <c r="B41" s="10" t="inlineStr">
        <is>
          <t>turkey</t>
        </is>
      </c>
      <c r="C41" s="10">
        <f>1.4*2</f>
        <v/>
      </c>
      <c r="D41" s="10">
        <f>2*42</f>
        <v/>
      </c>
      <c r="E41" s="10">
        <f>D41/C41</f>
        <v/>
      </c>
      <c r="H41" s="10" t="inlineStr">
        <is>
          <t>Turkey, Meat By-Products, Liver, Turkey Broth, Fish, Artificial And Natural Flavors, Tricalcium Phosphate, Guar Gum, MINERALS [Potassium Chloride, Mono And Dicalcium Phosphate, Magnesium Sulfate, Zinc Sulfate, Ferrous Sulfate, Copper Sulfate, Manganese Sulfate, Potassium Iodide], Salt, Taurine, VITAMINS [Thiamine Mononitrate, Vitamin E Supplement, Niacin, Calcium Pantothenate, Vitamin A Supplement, Menadione Sodium Bisulfite Complex, Pyridoxine Hydrochloride, Riboflavin Supplement, Vitamin B-12 Supplement, Biotin, Folic Acid, Vitamin D-3 Supplement]</t>
        </is>
      </c>
      <c r="I41" s="12" t="n"/>
      <c r="K41" s="11" t="n">
        <v>0</v>
      </c>
      <c r="L41" s="11" t="inlineStr">
        <is>
          <t>Excellent</t>
        </is>
      </c>
      <c r="M41" s="12" t="n"/>
      <c r="N41" s="12" t="n"/>
      <c r="O41" s="11" t="inlineStr">
        <is>
          <t>Y</t>
        </is>
      </c>
      <c r="P41" s="12" t="n"/>
      <c r="S41" s="20" t="n">
        <v>0</v>
      </c>
      <c r="T41" s="20" t="n">
        <v>100</v>
      </c>
      <c r="U41" s="21" t="inlineStr">
        <is>
          <t>High</t>
        </is>
      </c>
    </row>
    <row r="42">
      <c r="A42" s="10" t="inlineStr">
        <is>
          <t>fancy feast petites pate</t>
        </is>
      </c>
      <c r="B42" s="10" t="inlineStr">
        <is>
          <t>salmon</t>
        </is>
      </c>
      <c r="C42" s="10">
        <f>1.4*2</f>
        <v/>
      </c>
      <c r="D42" s="10">
        <f>42*2</f>
        <v/>
      </c>
      <c r="E42" s="10">
        <f>D42/C42</f>
        <v/>
      </c>
      <c r="H42" s="10" t="inlineStr">
        <is>
          <t>Salmon, Meat By-Products, Liver, Salmon Broth, Fish, Turkey, Artificial And Natural Flavors, Tricalcium Phosphate, Guar Gum, MINERALS [Potassium Chloride, Magnesium Sulfate, Mono And Dicalcium Phosphate, Zinc Sulfate, Ferrous Sulfate, Copper Sulfate, Manganese Sulfate, Potassium Iodide], Salt, Taurine, VITAMINS [Thiamine Mononitrate, Vitamin E Supplement, Niacin, Calcium Pantothenate, Vitamin A Supplement, Menadione Sodium Bisulfite Complex, Pyridoxine Hydrochloride, Riboflavin Supplement, Vitamin B-12 Supplement, Biotin, Folic Acid, Vitamin D-3 Supplement].</t>
        </is>
      </c>
      <c r="I42" s="12" t="n"/>
      <c r="K42" s="11" t="n">
        <v>0</v>
      </c>
      <c r="L42" s="11" t="inlineStr">
        <is>
          <t>Excellent</t>
        </is>
      </c>
      <c r="M42" s="12" t="n"/>
      <c r="N42" s="12" t="n"/>
      <c r="O42" s="11" t="inlineStr">
        <is>
          <t>Y</t>
        </is>
      </c>
      <c r="P42" s="12" t="n"/>
      <c r="S42" s="20" t="n">
        <v>0</v>
      </c>
      <c r="T42" s="20" t="n">
        <v>100</v>
      </c>
      <c r="U42" s="21" t="inlineStr">
        <is>
          <t>High</t>
        </is>
      </c>
    </row>
    <row r="43">
      <c r="A43" s="10" t="inlineStr">
        <is>
          <t>fancy feast petites pate</t>
        </is>
      </c>
      <c r="B43" s="10" t="inlineStr">
        <is>
          <t>whitefish</t>
        </is>
      </c>
      <c r="C43" s="10">
        <f>1.4*2</f>
        <v/>
      </c>
      <c r="D43" s="10">
        <f>42*2</f>
        <v/>
      </c>
      <c r="E43" s="10">
        <f>D43/C43</f>
        <v/>
      </c>
      <c r="H43" s="10" t="inlineStr">
        <is>
          <t>Ocean Whitefish, Fish, Meat By-Products, Liver, Fish Broth, Tuna, Artificial And Natural Flavors, Guar Gum, MINERALS [Potassium Chloride, Mono And Dicalcium Phosphate, Magnesium Sulfate, Zinc Sulfate, Ferrous Sulfate, Copper Sulfate, Manganese Sulfate, Potassium Iodide], Tricalcium Phosphate, Salt, VITAMINS [Thiamine Mononitrate, Vitamin E Supplement, Niacin, Calcium Pantothenate, Vitamin A Supplement, Menadione Sodium Bisulfite Complex, Pyridoxine Hydrochloride, Riboflavin Supplement, Vitamin B-12 Supplement, Biotin, Folic Acid, Vitamin D-3 Supplement].</t>
        </is>
      </c>
      <c r="I43" s="12" t="n"/>
      <c r="K43" s="11" t="n">
        <v>0</v>
      </c>
      <c r="L43" s="11" t="inlineStr">
        <is>
          <t>Excellent</t>
        </is>
      </c>
      <c r="M43" s="12" t="n"/>
      <c r="N43" s="12" t="n"/>
      <c r="O43" s="11" t="inlineStr">
        <is>
          <t>Y</t>
        </is>
      </c>
      <c r="P43" s="12" t="n"/>
      <c r="S43" s="20" t="n">
        <v>0</v>
      </c>
      <c r="T43" s="20" t="n">
        <v>100</v>
      </c>
      <c r="U43" s="21" t="inlineStr">
        <is>
          <t>High</t>
        </is>
      </c>
    </row>
    <row r="44">
      <c r="A44" s="10" t="inlineStr">
        <is>
          <t>hills</t>
        </is>
      </c>
      <c r="B44" s="10" t="inlineStr">
        <is>
          <t>i/d</t>
        </is>
      </c>
      <c r="C44" s="10" t="n">
        <v>5.5</v>
      </c>
      <c r="D44" s="10" t="n">
        <v>167</v>
      </c>
      <c r="E44" s="10">
        <f>D44/C44</f>
        <v/>
      </c>
      <c r="H44" s="10" t="inlineStr">
        <is>
          <t>Water, Pork Liver, Chicken, Rice, Potato Protein, Chicken Fat, Powdered Cellulose, Dried Beet Pulp, Chicken Liver Flavor, Hydrolyzed Chicken Flavor, Guar Gum, Calcium Sulfate, Potassium Chloride, Calcium Carbonate, Dicalcium Phosphate, Iodized Salt, Fructooligosaccharides (FOS), Taurine, Choline Chloride, Psyllium Seed Husk, vitamins (Vitamin E Supplement, Thiamine Mononitrate, Ascorbic Acid (source of Vitamin C), Niacin Supplement, Vitamin A Supplement, Calcium Pantothenate, Vitamin B12 Supplement, Pyridoxine Hydrochloride, Riboflavin Supplement, Menadione Sodium Bisulfite Complex (source of Vitamin K), Biotin, Folic Acid, Vitamin D3 Supplement), DL-Methionine, Magnesium Oxide, minerals (Zinc Oxide, Ferrous Sulfate, Manganese Sulfate, Copper Sulfate, Calcium Iodate), Beta-Carotene</t>
        </is>
      </c>
      <c r="I44" s="11" t="inlineStr">
        <is>
          <t>Y</t>
        </is>
      </c>
      <c r="K44" s="12" t="n">
        <v>6.5</v>
      </c>
      <c r="L44" s="12" t="inlineStr">
        <is>
          <t>Avoid</t>
        </is>
      </c>
      <c r="M44" s="12" t="n"/>
      <c r="N44" s="11" t="inlineStr">
        <is>
          <t>Y</t>
        </is>
      </c>
      <c r="O44" s="12" t="n"/>
      <c r="P44" s="12" t="n"/>
      <c r="S44" s="20" t="n">
        <v>1</v>
      </c>
      <c r="T44" s="20" t="n">
        <v>52</v>
      </c>
      <c r="U44" s="23" t="inlineStr">
        <is>
          <t>Low</t>
        </is>
      </c>
    </row>
    <row r="45">
      <c r="A45" s="10" t="inlineStr">
        <is>
          <t>Tiny Tiger</t>
        </is>
      </c>
      <c r="B45" s="10" t="inlineStr">
        <is>
          <t>Grain-Free Pate Turkey &amp; Giblets</t>
        </is>
      </c>
      <c r="C45" s="10" t="n">
        <v>3</v>
      </c>
      <c r="D45" s="10" t="n">
        <v>94</v>
      </c>
      <c r="E45" s="10">
        <f>D45/C45</f>
        <v/>
      </c>
      <c r="H45" s="10" t="inlineStr">
        <is>
          <t>Turkey, Liver, Meat By-Products, Turkey Broth, Poultry Giblets, Natural Flavor, Guar Gum, Potassium Chloride, Choline Chloride, Vitamins (Vitamin E Supplement, Thiamine Mononitrate, Niacin Supplement, D-Calcium Pantothenate, Pyridoxine Hydrochloride, Riboflavin Supplement, Vitamin A Supplement, Biotin, Vitamin D3 Supplement, Vitamin B12 Supplement, Folic Acid), Minerals (Ferrous Sulfate, Zinc Oxide, Copper Proteinate, Sodium Selenite, Manganese Sulfate, Potassium Iodide), Taurine, Salt, Tricalcium Phosphate, Menhaden Fish Oil (Preserved With Mixed Tocopherols) Magnesium Sulfate.</t>
        </is>
      </c>
      <c r="I45" s="12" t="n"/>
      <c r="K45" s="11" t="n">
        <v>0</v>
      </c>
      <c r="L45" s="11" t="inlineStr">
        <is>
          <t>Excellent</t>
        </is>
      </c>
      <c r="M45" s="12" t="n"/>
      <c r="N45" s="12" t="n"/>
      <c r="O45" s="11" t="inlineStr">
        <is>
          <t>Y</t>
        </is>
      </c>
      <c r="P45" s="12" t="n"/>
      <c r="S45" s="20" t="n">
        <v>0</v>
      </c>
      <c r="T45" s="20" t="n">
        <v>100</v>
      </c>
      <c r="U45" s="21" t="inlineStr">
        <is>
          <t>High</t>
        </is>
      </c>
    </row>
    <row r="46">
      <c r="A46" s="10" t="inlineStr">
        <is>
          <t>fancy feast petites pate</t>
        </is>
      </c>
      <c r="B46" s="10" t="inlineStr">
        <is>
          <t>beef</t>
        </is>
      </c>
      <c r="C46" s="10">
        <f>1.4*2</f>
        <v/>
      </c>
      <c r="D46" s="10">
        <f>44*2</f>
        <v/>
      </c>
      <c r="E46" s="10">
        <f>D46/C46</f>
        <v/>
      </c>
      <c r="H46" s="10" t="inlineStr">
        <is>
          <t xml:space="preserve">Beef, Beef Broth, Meat By-Products, Liver, Fish, Artificial And Natural Flavors, Guar Gum, MINERALS [Potassium Chloride, Mono And Dicalcium Phosphate, Magnesium Sulfate, Zinc Sulfate, Ferrous Sulfate, Copper Sulfate, Manganese Sulfate, Potassium Iodide], Tricalcium Phosphate, Choline Chloride, Salt, Taurine, VITAMINS [Thiamine Mononitrate, Vitamin E Supplement, Niacin, Calcium Pantothenate, Vitamin A Supplement, Menadione Sodium Bisulfite Complex, Pyridoxine Hydrochloride, Riboflavin Supplement, Vitamin B-12 Supplement, Biotin, Folic Acid, Vitamin D-3 Supplement]. </t>
        </is>
      </c>
      <c r="I46" s="12" t="n"/>
      <c r="K46" s="11" t="n">
        <v>0</v>
      </c>
      <c r="L46" s="11" t="inlineStr">
        <is>
          <t>Excellent</t>
        </is>
      </c>
      <c r="M46" s="12" t="n"/>
      <c r="N46" s="12" t="n"/>
      <c r="O46" s="11" t="inlineStr">
        <is>
          <t>Y</t>
        </is>
      </c>
      <c r="P46" s="12" t="n"/>
      <c r="S46" s="20" t="n">
        <v>0</v>
      </c>
      <c r="T46" s="20" t="n">
        <v>100</v>
      </c>
      <c r="U46" s="21" t="inlineStr">
        <is>
          <t>High</t>
        </is>
      </c>
    </row>
    <row r="47">
      <c r="A47" s="10" t="inlineStr">
        <is>
          <t xml:space="preserve">Merrick </t>
        </is>
      </c>
      <c r="B47" s="10" t="inlineStr">
        <is>
          <t>Limited Ingredient Turkey</t>
        </is>
      </c>
      <c r="C47" s="10" t="n">
        <v>3</v>
      </c>
      <c r="D47" s="10" t="n">
        <v>95</v>
      </c>
      <c r="E47" s="10">
        <f>D47/C47</f>
        <v/>
      </c>
      <c r="H47" s="10" t="inlineStr">
        <is>
          <t>Deboned Turkey, Turkey Liver, Turkey Broth, Natural Flavors, Tricalcium Phosphate, Minerals (Potassium Chloride, Magnesium Proteinate, Zinc Sulfate, Ferrous Sulfate, Manganese Sulfate, Copper Sulfate, Potassium Iodide), Flaxseed, Guar Gum, Taurine, Choline Chloride, Vitamins (Vitamin E Supplement, Thiamine Mononitrate, Niacin, Calcium Pantothenate, Vitamin A Supplement, Menadione Sodium Bisulfite Complex, Pyridoxine Hydrochloride, Riboflavin Supplement, Vitamin B-12 Supplement, Biotin, Folic Acid, Vitamin D-3 Supplement), Salt. B290122</t>
        </is>
      </c>
      <c r="I47" s="11" t="inlineStr">
        <is>
          <t>Y</t>
        </is>
      </c>
      <c r="K47" s="11" t="n">
        <v>0</v>
      </c>
      <c r="L47" s="11" t="inlineStr">
        <is>
          <t>Excellent</t>
        </is>
      </c>
      <c r="M47" s="11" t="n"/>
      <c r="N47" s="11" t="inlineStr">
        <is>
          <t>Y</t>
        </is>
      </c>
      <c r="O47" s="11" t="inlineStr">
        <is>
          <t>Y</t>
        </is>
      </c>
      <c r="P47" s="12" t="n"/>
      <c r="S47" s="20" t="n">
        <v>0</v>
      </c>
      <c r="T47" s="20" t="n">
        <v>100</v>
      </c>
      <c r="U47" s="21" t="inlineStr">
        <is>
          <t>High</t>
        </is>
      </c>
    </row>
    <row r="48">
      <c r="A48" s="10" t="inlineStr">
        <is>
          <t>Iams Indoor</t>
        </is>
      </c>
      <c r="B48" s="10" t="inlineStr">
        <is>
          <t>turkey</t>
        </is>
      </c>
      <c r="C48" s="10" t="n">
        <v>3</v>
      </c>
      <c r="D48" s="10">
        <f>48*2</f>
        <v/>
      </c>
      <c r="E48" s="10">
        <f>D48/C48</f>
        <v/>
      </c>
      <c r="H48" s="10" t="inlineStr">
        <is>
          <t>Chicken, Turkey, Poultry Liver, Water, Turkey Broth, Plain Dried Beet Pulp, Calcium Carbonate, Dried Egg Product, Guar Gum, Potassium Chloride, Sodium Tripolyphosphate, Fish Oil, Magnesium Sulfate, Taurine, Choline Chloride, Tapioca Starch, DL-Methionine, Fructooligiosaccharides, Salt, Vitamin E Supplement, Thiamine Mononitrate, Zinc Sulfate, Ferrous Sulfate, Manganese Sulfate, Copper Sulfate, Pyridoxine Hydrochloride, Vitamin D3 Supplement, Folic Acid, Potassium Iodide, Menadione Sodium Bisulfite Complex.</t>
        </is>
      </c>
      <c r="I48" s="12" t="n"/>
      <c r="K48" s="12" t="n">
        <v>1.5</v>
      </c>
      <c r="L48" s="14" t="inlineStr">
        <is>
          <t>Moderate</t>
        </is>
      </c>
      <c r="M48" s="12" t="n"/>
      <c r="N48" s="12" t="n"/>
      <c r="O48" s="11" t="inlineStr">
        <is>
          <t>Y</t>
        </is>
      </c>
      <c r="P48" s="12" t="n"/>
      <c r="S48" s="20" t="n">
        <v>0</v>
      </c>
      <c r="T48" s="20" t="n">
        <v>100</v>
      </c>
      <c r="U48" s="21" t="inlineStr">
        <is>
          <t>High</t>
        </is>
      </c>
    </row>
    <row r="49">
      <c r="A49" s="10" t="inlineStr">
        <is>
          <t>Beyond</t>
        </is>
      </c>
      <c r="B49" s="10" t="inlineStr">
        <is>
          <t>Grain-Free Natural Pate Chicken &amp; Sweet Potato Recipe Wet Cat Food</t>
        </is>
      </c>
      <c r="C49" s="10" t="n">
        <v>3</v>
      </c>
      <c r="D49" s="10" t="n">
        <v>98</v>
      </c>
      <c r="E49" s="10">
        <f>D49/C49</f>
        <v/>
      </c>
      <c r="F49" s="10" t="n">
        <v>7</v>
      </c>
      <c r="H49" s="10" t="inlineStr">
        <is>
          <t>Chicken, Chicken Broth, Liver, Sweet Potatoes, Ocean Fish, Carrots, Egg Product, MINERALS [Potassium Chloride, Zinc Sulfate, Ferrous Sulfate, Manganese Sulfate, Copper Sulfate, Potassium Iodide], Guar Gum, Taurine, Choline Chloride, Salt, VITAMINS [Thiamine Mononitrate (Vitamin B-1), Vitamin E Supplement, Niacin (Vitamin B-3), Calcium Pantothenate (Vitamin B-5), Vitamin A Supplement, Menadione Sodium Bisulfite Complex (Vitamin K), Pyridoxine Hydrochloride (Vitamin B-6), Riboflavin Supplement (Vitamin B-2), Vitamin B-12 Supplement, Biotin (Vitamin B-7), Folic Acid (Vitamin B-9), Vitamin D-3 Supplement].</t>
        </is>
      </c>
      <c r="I49" s="12" t="n"/>
      <c r="K49" s="11" t="n">
        <v>0</v>
      </c>
      <c r="L49" s="11" t="inlineStr">
        <is>
          <t>Excellent</t>
        </is>
      </c>
      <c r="M49" s="12" t="n"/>
      <c r="N49" s="12" t="n"/>
      <c r="O49" s="12" t="n"/>
      <c r="P49" s="12" t="n"/>
      <c r="Q49" s="10" t="n">
        <v>78</v>
      </c>
      <c r="R49" s="13" t="n">
        <v>31.8</v>
      </c>
      <c r="S49" s="20" t="n">
        <v>0</v>
      </c>
      <c r="T49" s="20" t="n">
        <v>100</v>
      </c>
      <c r="U49" s="21" t="inlineStr">
        <is>
          <t>High</t>
        </is>
      </c>
    </row>
    <row r="50">
      <c r="A50" s="10" t="inlineStr">
        <is>
          <t>Fancy Feast</t>
        </is>
      </c>
      <c r="B50" s="10" t="inlineStr">
        <is>
          <t>Classic Chopped Grill</t>
        </is>
      </c>
      <c r="C50" s="10" t="n">
        <v>3</v>
      </c>
      <c r="D50" s="10" t="n">
        <v>98</v>
      </c>
      <c r="E50" s="10">
        <f>D50/C50</f>
        <v/>
      </c>
      <c r="H50" s="10" t="inlineStr">
        <is>
          <t xml:space="preserve">Chicken, Chicken Broth, Meat By-products, Liver, Artificial And Natural Flavors, Tricalcium Phosphate, Guar Gum, Minerals [Potassium Chloride, Zinc Sulfate, Ferrous Sulfate, Manganese Sulfate, Copper Sulfate, Potassium Iodide], Salt, Taurine, Choline Chloride, Vitamins [Thiamine Mononitrate (Vitamin B-1), Vitamin E Supplement, Niacin (Vitamin B-3), Calcium Pantothenate (Vitamin B-5), Vitamin A Supplement, Menadione Sodium Bisulfite Complex (Vitamin K), Pyridoxine Hydrochloride (Vitamin B-6), Riboflavin Supplement (Vitamin B-2), Vitamin B-12 Supplement, Biotin (Vitamin B-7), Folic Acid (Vitamin B-9), Vitamin D-3 Supplement]. </t>
        </is>
      </c>
      <c r="I50" s="11" t="inlineStr">
        <is>
          <t>Y</t>
        </is>
      </c>
      <c r="K50" s="11" t="n">
        <v>0</v>
      </c>
      <c r="L50" s="11" t="inlineStr">
        <is>
          <t>Excellent</t>
        </is>
      </c>
      <c r="M50" s="11" t="n"/>
      <c r="N50" s="11" t="inlineStr">
        <is>
          <t>Y</t>
        </is>
      </c>
      <c r="O50" s="11" t="inlineStr">
        <is>
          <t>Y</t>
        </is>
      </c>
      <c r="P50" s="12" t="n"/>
      <c r="S50" s="20" t="n">
        <v>0</v>
      </c>
      <c r="T50" s="20" t="n">
        <v>100</v>
      </c>
      <c r="U50" s="21" t="inlineStr">
        <is>
          <t>High</t>
        </is>
      </c>
    </row>
    <row r="51">
      <c r="A51" s="10" t="inlineStr">
        <is>
          <t>Fancy Feast</t>
        </is>
      </c>
      <c r="B51" s="10" t="inlineStr">
        <is>
          <t xml:space="preserve">Classic Tender Beef &amp; Liver Feast </t>
        </is>
      </c>
      <c r="C51" s="10" t="n">
        <v>3</v>
      </c>
      <c r="D51" s="10" t="n">
        <v>98</v>
      </c>
      <c r="E51" s="10">
        <f>D51/C51</f>
        <v/>
      </c>
      <c r="H51" s="10" t="inlineStr">
        <is>
          <t>Beef, Beef Broth, Liver, Meat By-products, Chicken, Artificial And Natural Flavors, Guar Gum, Tricalcium Phosphate, Minerals [Potassium Chloride, Zinc Sulfate, Ferrous Sulfate, Manganese Sulfate, Copper Sulfate, Potassium Iodide], Salt, Choline Chloride, Taurine, Vitamins [Thiamine Mononitrate, Vitamin E Supplement, Niacin, Calcium Pantothenate, Vitamin A Supplement, Menadione Sodium Bisulfite Complex, Pyridoxine Hydrochloride, Riboflavin Supplement, Vitamin B-12 Supplement, Biotin, Folic Acid, Vitamin D-3 Supplement].</t>
        </is>
      </c>
      <c r="I51" s="11" t="inlineStr">
        <is>
          <t>Y</t>
        </is>
      </c>
      <c r="K51" s="11" t="n">
        <v>0</v>
      </c>
      <c r="L51" s="11" t="inlineStr">
        <is>
          <t>Excellent</t>
        </is>
      </c>
      <c r="M51" s="11" t="n"/>
      <c r="N51" s="11" t="inlineStr">
        <is>
          <t>Y</t>
        </is>
      </c>
      <c r="O51" s="11" t="inlineStr">
        <is>
          <t>Y</t>
        </is>
      </c>
      <c r="P51" s="12" t="n"/>
      <c r="S51" s="20" t="n">
        <v>0</v>
      </c>
      <c r="T51" s="20" t="n">
        <v>100</v>
      </c>
      <c r="U51" s="21" t="inlineStr">
        <is>
          <t>High</t>
        </is>
      </c>
    </row>
    <row r="52">
      <c r="A52" s="10" t="inlineStr">
        <is>
          <t>Beyond</t>
        </is>
      </c>
      <c r="B52" s="10" t="inlineStr">
        <is>
          <t xml:space="preserve"> Grain-Free Wild Salmon Pate</t>
        </is>
      </c>
      <c r="C52" s="10" t="n">
        <v>3</v>
      </c>
      <c r="D52" s="10" t="n">
        <v>99</v>
      </c>
      <c r="E52" s="10">
        <f>D52/C52</f>
        <v/>
      </c>
      <c r="F52" s="10" t="n">
        <v>10</v>
      </c>
      <c r="H52" s="10" t="inlineStr">
        <is>
          <t>Salmon, Chicken, Fish Broth, Liver, Egg Product, Carrots, MINERALS [Potassium Chloride, Zinc Sulfate, Ferrous Sulfate, Manganese Sulfate, Copper Sulfate, Potassium Iodide], Guar Gum, Taurine, Salt, Choline Chloride, VITAMINS [Thiamine Mononitrate (Vitamin B-1), Vitamin E Supplement, Niacin (Vitamin B-3), Calcium Pantothenate (Vitamin B-5), Vitamin A Supplement, Menadione Sodium Bisulfite Complex (Vitamin K), Pyridoxine Hydrochloride (Vitamin B-6), Riboflavin Supplement (Vitamin B-2), Vitamin B-12 Supplement, Biotin (Vitamin B-7), Folic Acid (Vitamin B-9), Vitamin D-3 Supplement].</t>
        </is>
      </c>
      <c r="I52" s="12" t="n"/>
      <c r="K52" s="11" t="n">
        <v>0</v>
      </c>
      <c r="L52" s="11" t="inlineStr">
        <is>
          <t>Excellent</t>
        </is>
      </c>
      <c r="M52" s="12" t="n"/>
      <c r="N52" s="12" t="n"/>
      <c r="O52" s="11" t="inlineStr">
        <is>
          <t>Y</t>
        </is>
      </c>
      <c r="P52" s="12" t="n"/>
      <c r="Q52" s="10" t="n">
        <v>78</v>
      </c>
      <c r="R52" s="14" t="n">
        <v>45.5</v>
      </c>
      <c r="S52" s="20" t="n">
        <v>0</v>
      </c>
      <c r="T52" s="20" t="n">
        <v>100</v>
      </c>
      <c r="U52" s="21" t="inlineStr">
        <is>
          <t>High</t>
        </is>
      </c>
    </row>
    <row r="53">
      <c r="A53" s="10" t="inlineStr">
        <is>
          <t>fancy feast petites pate</t>
        </is>
      </c>
      <c r="B53" s="10" t="inlineStr">
        <is>
          <t>chicken</t>
        </is>
      </c>
      <c r="C53" s="10">
        <f>1.4*2</f>
        <v/>
      </c>
      <c r="D53" s="10">
        <f>47*2</f>
        <v/>
      </c>
      <c r="E53" s="10">
        <f>D53/C53</f>
        <v/>
      </c>
      <c r="H53" s="10" t="inlineStr">
        <is>
          <t>Chicken, Chicken Broth, Meat By-Products, Liver, Fish, Artificial And Natural Flavors, Tricalcium Phosphate, Guar Gum, MINERALS [Potassium Chloride, Mono And Dicalcium Phosphate, Magnesium Sulfate, Zinc Sulfate, Ferrous Sulfate, Copper Sulfate, Manganese Sulfate, Potassium Iodide], Choline Chloride, Salt, Taurine, VITAMINS [Thiamine Mononitrate, Vitamin E Supplement, Niacin, Calcium Pantothenate, Vitamin A Supplement, Menadione Sodium Bisulfite Complex, Pyridoxine Hydrochloride, Riboflavin Supplement, Vitamin B-12 Supplement, Biotin, Folic Acid, Vitamin D-3 Supplement]</t>
        </is>
      </c>
      <c r="I53" s="12" t="n"/>
      <c r="K53" s="11" t="n">
        <v>0</v>
      </c>
      <c r="L53" s="11" t="inlineStr">
        <is>
          <t>Excellent</t>
        </is>
      </c>
      <c r="M53" s="12" t="n"/>
      <c r="N53" s="12" t="n"/>
      <c r="O53" s="11" t="inlineStr">
        <is>
          <t>Y</t>
        </is>
      </c>
      <c r="P53" s="12" t="n"/>
      <c r="S53" s="20" t="n">
        <v>0</v>
      </c>
      <c r="T53" s="20" t="n">
        <v>100</v>
      </c>
      <c r="U53" s="21" t="inlineStr">
        <is>
          <t>High</t>
        </is>
      </c>
    </row>
    <row r="54">
      <c r="A54" s="10" t="inlineStr">
        <is>
          <t>Fancy Feast</t>
        </is>
      </c>
      <c r="B54" s="10" t="inlineStr">
        <is>
          <t xml:space="preserve">Classic Tender Beef &amp; Chicken Feast </t>
        </is>
      </c>
      <c r="C54" s="10" t="n">
        <v>3</v>
      </c>
      <c r="D54" s="10" t="n">
        <v>101</v>
      </c>
      <c r="E54" s="10">
        <f>D54/C54</f>
        <v/>
      </c>
      <c r="H54" s="10" t="inlineStr">
        <is>
          <t>Meat By-Products, Beef Broth, Beef, Chicken, Artificial And Natural Flavors, Guar Gum, Tricalcium Phosphate, Salt, Taurine, Minerals [Potassium Chloride, Magnesium Sulfate, Zinc Sulfate, Ferrous Sulfate, Copper Sulfate, Manganese Sulfate, Potassium Iodide], Vitamins [Thiamine Mononitrate (Vitamin B-1), Vitamin E Supplement, Niacin (Vitamin B-3), Calcium Pantothenate (Vitamin B-5), Vitamin A Supplement, Menadione Sodium Bisulfite Complex (Vitamin K), Pyridoxine Hydrochloride (Vitamin B-6), Riboflavin Supplement (Vitamin B-2), Vitamin B-12 Supplement, Biotin (Vitamin B-7), Folic Acid (Vitamin B-9), Vitamin D-3 Supplement], Added Color, Sodium Nitrite (To Promote Color Retention)</t>
        </is>
      </c>
      <c r="I54" s="11" t="inlineStr">
        <is>
          <t>Y</t>
        </is>
      </c>
      <c r="K54" s="11" t="n">
        <v>0</v>
      </c>
      <c r="L54" s="11" t="inlineStr">
        <is>
          <t>Excellent</t>
        </is>
      </c>
      <c r="M54" s="11" t="n"/>
      <c r="N54" s="11" t="inlineStr">
        <is>
          <t>Y</t>
        </is>
      </c>
      <c r="O54" s="11" t="inlineStr">
        <is>
          <t>Y</t>
        </is>
      </c>
      <c r="P54" s="12" t="n"/>
      <c r="S54" s="20" t="n">
        <v>0</v>
      </c>
      <c r="T54" s="20" t="n">
        <v>100</v>
      </c>
      <c r="U54" s="21" t="inlineStr">
        <is>
          <t>High</t>
        </is>
      </c>
    </row>
    <row r="55">
      <c r="A55" s="10" t="inlineStr">
        <is>
          <t xml:space="preserve">Merrick </t>
        </is>
      </c>
      <c r="B55" s="10" t="inlineStr">
        <is>
          <t>Limited Ingredient Diet Grain-Free Real Chicken Pate</t>
        </is>
      </c>
      <c r="C55" s="10" t="n">
        <v>2.75</v>
      </c>
      <c r="D55" s="10" t="n">
        <v>93</v>
      </c>
      <c r="E55" s="10">
        <f>D55/C55</f>
        <v/>
      </c>
      <c r="H55" s="10" t="inlineStr">
        <is>
          <t>Deboned Chicken, Chicken Liver, Chicken Broth, Natural Flavors, Tricalcium Phosphate, Whole Flaxseed, MINERALS [Potassium Chloride, Magnesium Proteinate, Zinc Sulfate, Ferrous Sulfate, Manganese Sulfate, Copper Sulfate, Potassium Iodide], Guar Gum, Taurine, Salt, Choline Chloride, VITAMINS [Vitamin E Supplement, Thiamine Mononitrate, Niacin, Calcium Pantothenate, Vitamin A Supplement, Menadione Sodium Bisulfite Complex, Pyridoxine Hydrochloride, Riboflavin Supplement, Vitamin B-12 Supplement, Biotin, Folic Acid, Vitamin D-3 Supplement]</t>
        </is>
      </c>
      <c r="I55" s="11" t="inlineStr">
        <is>
          <t>Y</t>
        </is>
      </c>
      <c r="K55" s="11" t="n">
        <v>0</v>
      </c>
      <c r="L55" s="11" t="inlineStr">
        <is>
          <t>Excellent</t>
        </is>
      </c>
      <c r="M55" s="11" t="n"/>
      <c r="N55" s="11" t="inlineStr">
        <is>
          <t>Y</t>
        </is>
      </c>
      <c r="O55" s="11" t="inlineStr">
        <is>
          <t>Y</t>
        </is>
      </c>
      <c r="P55" s="12" t="n"/>
      <c r="S55" s="20" t="n">
        <v>0</v>
      </c>
      <c r="T55" s="20" t="n">
        <v>100</v>
      </c>
      <c r="U55" s="21" t="inlineStr">
        <is>
          <t>High</t>
        </is>
      </c>
    </row>
    <row r="56">
      <c r="A56" s="10" t="inlineStr">
        <is>
          <t>Pro Plan</t>
        </is>
      </c>
      <c r="B56" s="10" t="inlineStr">
        <is>
          <t>Artic Char</t>
        </is>
      </c>
      <c r="C56" s="10" t="n">
        <v>3</v>
      </c>
      <c r="D56" s="10" t="n">
        <v>103</v>
      </c>
      <c r="E56" s="10">
        <f>D56/C56</f>
        <v/>
      </c>
      <c r="H56" s="10" t="inlineStr">
        <is>
          <t>Arctic Char, Ocean Whitefish, Liver, Meat By-Products, Water Sufficient For Processing, Inulin, Essential Nutrients And Other Ingredients: Minerals (Potassium Chloride, Tricalcium Phosphate, Salt, Zinc Sulfate, Ferrous Sulfate, Manganese Sulfate, Copper Sulfate, Potassium Iodide), Vitamins (Choline, Vitamin E, Vitamin B-1, Vitamin B-3, Vitamin B-5, Vitamin A, Vitamin K, Vitamin B-6, Vitamin B-2, Vitamin B-12, Vitamin B-7, Folic Acid, Vitamin D-3), Guar Gum, Taurine.</t>
        </is>
      </c>
      <c r="I56" s="12" t="n"/>
      <c r="K56" s="12" t="n">
        <v>5</v>
      </c>
      <c r="L56" s="13" t="inlineStr">
        <is>
          <t>Poor</t>
        </is>
      </c>
      <c r="M56" s="12" t="n"/>
      <c r="N56" s="12" t="n"/>
      <c r="O56" s="12" t="n"/>
      <c r="P56" s="12" t="n"/>
      <c r="S56" s="20" t="n">
        <v>0</v>
      </c>
      <c r="T56" s="20" t="n">
        <v>100</v>
      </c>
      <c r="U56" s="21" t="inlineStr">
        <is>
          <t>High</t>
        </is>
      </c>
    </row>
    <row r="57">
      <c r="A57" s="10" t="inlineStr">
        <is>
          <t xml:space="preserve">Merrick </t>
        </is>
      </c>
      <c r="B57" s="10" t="inlineStr">
        <is>
          <t>Purrfect Bistro Grain-Free Turkey Pate Canned Cat Food</t>
        </is>
      </c>
      <c r="C57" s="10" t="n">
        <v>3</v>
      </c>
      <c r="D57" s="10" t="n">
        <v>105</v>
      </c>
      <c r="E57" s="10">
        <f>D57/C57</f>
        <v/>
      </c>
      <c r="H57" s="10" t="inlineStr">
        <is>
          <t>Deboned Turkey, Chicken Liver, Turkey Broth, Chicken, Natural Flavor, Tricalcium Phosphate, Dried Cranberries, MINERALS [Potassium Chloride, Magnesium Proteinate, Zinc Sulfate, Ferrous Sulfate, Manganese Sulfate, Copper Sulfate, Potassium Iodide], Guar Gum, Menhaden Fish Oil, Salt, Taurine, Choline Chloride, VITAMINS [Vitamin E Supplement, Thiamine Mononitrate, Niacin, Calcium Pantothenate, Vitamin A Supplement, Menadione Sodium Bisulfite Complex, Pyridoxine Hydrochloride, Riboflavin Supplement, Vitamin B-12 Supplement, Biotin, Folic Acid, Vitamin D-3 Supplement]. E280223-3</t>
        </is>
      </c>
      <c r="I57" s="12" t="n"/>
      <c r="K57" s="11" t="n">
        <v>0</v>
      </c>
      <c r="L57" s="11" t="inlineStr">
        <is>
          <t>Excellent</t>
        </is>
      </c>
      <c r="M57" s="12" t="n"/>
      <c r="N57" s="12" t="n"/>
      <c r="O57" s="11" t="inlineStr">
        <is>
          <t>Y</t>
        </is>
      </c>
      <c r="P57" s="12" t="n"/>
      <c r="S57" s="20" t="n">
        <v>0</v>
      </c>
      <c r="T57" s="20" t="n">
        <v>100</v>
      </c>
      <c r="U57" s="21" t="inlineStr">
        <is>
          <t>High</t>
        </is>
      </c>
    </row>
    <row r="58">
      <c r="A58" s="10" t="inlineStr">
        <is>
          <t xml:space="preserve">Purina Beyond </t>
        </is>
      </c>
      <c r="B58" s="10" t="inlineStr">
        <is>
          <t>High Protein Organic Chicken &amp; Sweet Potato Recipe Pate</t>
        </is>
      </c>
      <c r="C58" s="10" t="n">
        <v>3</v>
      </c>
      <c r="D58" s="10" t="n">
        <v>109</v>
      </c>
      <c r="E58" s="10">
        <f>D58/C58</f>
        <v/>
      </c>
      <c r="H58" s="10" t="inlineStr">
        <is>
          <t>Organic Chicken, Organic Chicken Broth, Organic Chicken Livers, Organic Sweet Potatoes, Minerals [Potassium Chloride, Zinc Sulfate, Ferrous Sulfate, Manganese Sulfate, Copper Sulfate, Potassium Iodide], Organic Guar Gum, Choline Chloride, Taurine, Salt, Vitamins [Thiamine Mononitrate (Vitamin B-1), Vitamin E Supplement, Niacin (Vitamin B-3), Calcium Pantothenate (Vitamin B-5), Pyridoxine Hydrochloride (Vitamin B-6), Vitamin A Supplement, Riboflavin Supplement (Vitamin B-2), Vitamin B-12 Supplement, Menadione Sodium Bisulfite Complex (Vitamin K), Folic Acid (Vitamin B-9), Vitamin D-3 Supplement]</t>
        </is>
      </c>
      <c r="I58" s="11" t="inlineStr">
        <is>
          <t>Y</t>
        </is>
      </c>
      <c r="K58" s="11" t="n">
        <v>0</v>
      </c>
      <c r="L58" s="11" t="inlineStr">
        <is>
          <t>Excellent</t>
        </is>
      </c>
      <c r="M58" s="11" t="n"/>
      <c r="N58" s="11" t="inlineStr">
        <is>
          <t>Y</t>
        </is>
      </c>
      <c r="O58" s="11" t="inlineStr">
        <is>
          <t>Y</t>
        </is>
      </c>
      <c r="P58" s="12" t="n"/>
      <c r="S58" s="20" t="n">
        <v>0</v>
      </c>
      <c r="T58" s="20" t="n">
        <v>100</v>
      </c>
      <c r="U58" s="21" t="inlineStr">
        <is>
          <t>High</t>
        </is>
      </c>
    </row>
    <row r="59">
      <c r="A59" s="10" t="inlineStr">
        <is>
          <t xml:space="preserve">Purina Beyond </t>
        </is>
      </c>
      <c r="B59" s="10" t="inlineStr">
        <is>
          <t>High Protein Organic Chicken &amp; Carrot Recipe Wet Cat Food</t>
        </is>
      </c>
      <c r="C59" s="10" t="n">
        <v>3</v>
      </c>
      <c r="D59" s="10" t="n">
        <v>109</v>
      </c>
      <c r="E59" s="10">
        <f>D59/C59</f>
        <v/>
      </c>
      <c r="H59" s="10" t="inlineStr">
        <is>
          <t>Organic Chicken, Organic Chicken Broth, Organic Chicken Livers, Organic Carrots, Minerals [Potassium Chloride, Zinc Sulfate, Ferrous Sulfate, Manganese Sulfate, Copper Sulfate, Potassium Iodide], Organic Guar Gum, Choline Chloride, Taurine, Salt, Vitamins [Thiamine Mononitrate (Vitamin B-1), Vitamin E Supplement, Niacin (Vitamin B-3), Calcium Pantothenate (Vitamin B-5), Pyridoxine Hydrochloride (Vitamin B-6), Vitamin A Supplement, Riboflavin Supplement (Vitamin B-2), Vitamin B-12 Supplement, Menadione Sodium Bisulfite Complex (Vitamin K), Folic Acid (Vitamin B-9), Vitamin D-3 Supplement]</t>
        </is>
      </c>
      <c r="I59" s="11" t="inlineStr">
        <is>
          <t>Y</t>
        </is>
      </c>
      <c r="K59" s="11" t="n">
        <v>0</v>
      </c>
      <c r="L59" s="11" t="inlineStr">
        <is>
          <t>Excellent</t>
        </is>
      </c>
      <c r="M59" s="11" t="n"/>
      <c r="N59" s="11" t="inlineStr">
        <is>
          <t>Y</t>
        </is>
      </c>
      <c r="O59" s="11" t="inlineStr">
        <is>
          <t>Y</t>
        </is>
      </c>
      <c r="P59" s="12" t="n"/>
      <c r="S59" s="20" t="n">
        <v>0</v>
      </c>
      <c r="T59" s="20" t="n">
        <v>100</v>
      </c>
      <c r="U59" s="21" t="inlineStr">
        <is>
          <t>High</t>
        </is>
      </c>
    </row>
    <row r="60">
      <c r="A60" s="10" t="inlineStr">
        <is>
          <t>Instinct</t>
        </is>
      </c>
      <c r="B60" s="10" t="inlineStr">
        <is>
          <t>Limited Ingredient Turkey</t>
        </is>
      </c>
      <c r="C60" s="10" t="n">
        <v>3</v>
      </c>
      <c r="D60" s="10" t="n">
        <v>113</v>
      </c>
      <c r="E60" s="10">
        <f>D60/C60</f>
        <v/>
      </c>
      <c r="G60" s="10" t="inlineStr">
        <is>
          <t>Evie dislikes - won't finish (Oct 2024)</t>
        </is>
      </c>
      <c r="H60" s="10" t="inlineStr">
        <is>
          <t>Turkey, Turkey Broth, Turkey Liver, Peas, Pea Protein, Montmorillonite Clay, Marine Microalgae Oil, Potassium Chloride, Ground Flaxseed, Minerals (Iron Proteinate, Zinc Proteinate, Copper Proteinate, Manganese Proteinate, Sodium Selenite, Potassium Iodide), Choline Chloride, Salt, Vitamins (Vitamin E Supplement, Thiamine Mononitrate, Niacin Supplement, d-Calcium Pantothenate, Pyridoxine Hydrochloride, Riboflavin Supplement, Vitamin A Supplement, Biotin, Vitamin D3 Supplement, Vitamin B12 Supplement, Folic Acid), Taurine, L-Ascorbyl-2-Polyphosphate.</t>
        </is>
      </c>
      <c r="I60" s="11" t="inlineStr">
        <is>
          <t>Y</t>
        </is>
      </c>
      <c r="K60" s="12" t="n">
        <v>2</v>
      </c>
      <c r="L60" s="14" t="inlineStr">
        <is>
          <t>Moderate</t>
        </is>
      </c>
      <c r="M60" s="11" t="n"/>
      <c r="N60" s="11" t="inlineStr">
        <is>
          <t>Y</t>
        </is>
      </c>
      <c r="O60" s="11" t="inlineStr">
        <is>
          <t>Y</t>
        </is>
      </c>
      <c r="P60" s="12" t="n"/>
      <c r="S60" s="20" t="n">
        <v>1</v>
      </c>
      <c r="T60" s="20" t="n">
        <v>24</v>
      </c>
      <c r="U60" s="23" t="inlineStr">
        <is>
          <t>Low</t>
        </is>
      </c>
    </row>
    <row r="61">
      <c r="A61" s="10" t="inlineStr">
        <is>
          <t>Wellness Core</t>
        </is>
      </c>
      <c r="B61" s="10" t="inlineStr">
        <is>
          <t>Turkey &amp; Duck</t>
        </is>
      </c>
      <c r="C61" s="10" t="n">
        <v>3</v>
      </c>
      <c r="D61" s="10" t="n">
        <v>117</v>
      </c>
      <c r="E61" s="10">
        <f>D61/C61</f>
        <v/>
      </c>
      <c r="H61" s="10" t="inlineStr">
        <is>
          <t>Turkey, Turkey Broth, Pork Liver, Duck, Chicken, Fish Oil (Preserved With Mixed Tocopherols), Ground Flaxseed, Dried Chicory Root, Guar Gum, Potassium Chloride, Taurine, Cranberries, Sunflower Oil, Choline Chloride, Cassia Gum, Xanthan Gum, Yucca Schidigera Extract, Dried Kelp, Salt, Vitamin E Supplement, Zinc Proteinate, Tricalcium Phosphate, Iron Proteinate, Thiamine Mononitrate, Copper Proteinate, Manganese Proteinate, Sodium Selenite, Niacin Supplement, d-Calcium Pantothenate, Pyridoxine Hydrochloride, Riboflavin Supplement, Vitamin A Supplement, Biotin, Potassium Iodide, Vitamin D3 Supplement, Vitamin B12 Supplement, Folic Acid.</t>
        </is>
      </c>
      <c r="I61" s="12" t="n"/>
      <c r="K61" s="12" t="n">
        <v>5</v>
      </c>
      <c r="L61" s="13" t="inlineStr">
        <is>
          <t>Poor</t>
        </is>
      </c>
      <c r="M61" s="12" t="n"/>
      <c r="N61" s="12" t="n"/>
      <c r="O61" s="12" t="n"/>
      <c r="P61" s="12" t="n"/>
      <c r="S61" s="20" t="n">
        <v>0</v>
      </c>
      <c r="T61" s="20" t="n">
        <v>100</v>
      </c>
      <c r="U61" s="21" t="inlineStr">
        <is>
          <t>High</t>
        </is>
      </c>
    </row>
    <row r="62">
      <c r="A62" s="10" t="inlineStr">
        <is>
          <t>Instinct</t>
        </is>
      </c>
      <c r="B62" s="10" t="inlineStr">
        <is>
          <t>Original lamb grain free pate</t>
        </is>
      </c>
      <c r="C62" s="10" t="n">
        <v>3</v>
      </c>
      <c r="D62" s="10" t="n">
        <v>120</v>
      </c>
      <c r="E62" s="10">
        <f>D62/C62</f>
        <v/>
      </c>
      <c r="H62" s="10" t="inlineStr">
        <is>
          <t>Lamb, Turkey, Lamb Broth, Turkey Liver, Montmorillonite Clay, Egg Product, Peas, Carrots, Ground Flaxseed, Potassium Chloride, Salt, Minerals (Iron Proteinate, Zinc Proteinate, Copper Proteinate, Manganese Proteinate, Sodium Selenite, Potassium Iodide), Choline Chloride, Vitamins (Vitamin E Supplement, Thiamine Mononitrate, Niacin Supplement, d-Calcium Pantothenate, Pyridoxine Hydrochloride, Riboflavin Supplement, Vitamin A Supplement, Biotin, Vitamin D3 Supplement, Vitamin B12 Supplement, Folic Acid), Taurine, Magnesium Sulfate, Menhaden Fish Oil (preserved with Mixed Tocopherols), L-Ascorbyl-2-Polyphosphate, Artichokes, Cranberries, Pumpkin, Tomato, Blueberries, Broccoli, Cabbage, Kale, Parsley.</t>
        </is>
      </c>
      <c r="I62" s="12" t="n"/>
      <c r="K62" s="12" t="n">
        <v>2</v>
      </c>
      <c r="L62" s="14" t="inlineStr">
        <is>
          <t>Moderate</t>
        </is>
      </c>
      <c r="M62" s="12" t="n"/>
      <c r="N62" s="12" t="n"/>
      <c r="O62" s="11" t="inlineStr">
        <is>
          <t>Y</t>
        </is>
      </c>
      <c r="P62" s="12" t="n"/>
      <c r="S62" s="20" t="n">
        <v>0</v>
      </c>
      <c r="T62" s="20" t="n">
        <v>82</v>
      </c>
      <c r="U62" s="22" t="inlineStr">
        <is>
          <t>Mod</t>
        </is>
      </c>
    </row>
    <row r="63">
      <c r="A63" s="10" t="inlineStr">
        <is>
          <t>Instinct</t>
        </is>
      </c>
      <c r="B63" s="10" t="inlineStr">
        <is>
          <t>Rabbit Entree Grain-Free Flaked</t>
        </is>
      </c>
      <c r="C63" s="10" t="n">
        <v>3</v>
      </c>
      <c r="D63" s="10" t="n">
        <v>69</v>
      </c>
      <c r="H63" s="10" t="inlineStr">
        <is>
          <t>Pork Broth, Rabbit, Pork Liver, Natural Flavor, Egg Product, Spinach, Carrots, Dried Ground Peas, Tricalcium Phosphate, Guar Gum, Menhaden Fish Oil (Preserved With Mixed Tocopherols), Sunflower Oil, Montmorillonite Clay, Calcium Carbonate, Sodium Phosphate, Salt, Potassium Chloride, Ground Flaxseed, Minerals (Iron Proteinate, Zinc Proteinate, Copper Proteinate, Manganese Proteinate, Sodium Selenite, Potassium Iodide), Choline Chloride, Vitamins (Vitamin E Supplement, Thiamine Mononitrate, Niacin Supplement, D-Calcium Pantothenate, Pyridoxine Hydrochloride, Riboflavin Supplement, Vitamin A Supplement, Biotin, Vitamin D3 Supplement, Vitamin B12 Supplement, Folic Acid), Taurine, Dried Kelp, Cassia Gum, Xanthan Gum, Artichokes, Cranberries, Pumpkin, Tomato, Blueberries, Broccoli, Cabbage, Kale, Parsley.</t>
        </is>
      </c>
      <c r="I63" s="12" t="n"/>
      <c r="K63" s="12" t="n">
        <v>2</v>
      </c>
      <c r="L63" s="14" t="inlineStr">
        <is>
          <t>Moderate</t>
        </is>
      </c>
      <c r="M63" s="12" t="n"/>
      <c r="N63" s="12" t="n"/>
      <c r="O63" s="11" t="inlineStr">
        <is>
          <t>Y</t>
        </is>
      </c>
      <c r="P63" s="12" t="n"/>
      <c r="S63" s="20" t="n">
        <v>0</v>
      </c>
      <c r="T63" s="20" t="n">
        <v>83</v>
      </c>
      <c r="U63" s="22" t="inlineStr">
        <is>
          <t>Mod</t>
        </is>
      </c>
    </row>
    <row r="64">
      <c r="A64" s="10" t="inlineStr">
        <is>
          <t>Fancy Feast Naturals</t>
        </is>
      </c>
    </row>
    <row r="65">
      <c r="A65" s="10" t="inlineStr">
        <is>
          <t>RAWZ</t>
        </is>
      </c>
      <c r="B65" s="10" t="inlineStr">
        <is>
          <t>96% Chicken &amp; Chicken Liver Pate</t>
        </is>
      </c>
      <c r="C65" s="10" t="n">
        <v>3</v>
      </c>
      <c r="D65" s="10" t="n">
        <v>107</v>
      </c>
      <c r="E65" s="10" t="n">
        <v>35.66666666666666</v>
      </c>
      <c r="F65" s="10" t="n">
        <v>11</v>
      </c>
      <c r="H65" s="10" t="inlineStr">
        <is>
          <t>Chicken, Chicken Liver, Chicken Broth, Fenugreek Seeds, Dandelion Greens, Taurine, Natural Flavor, Potassium Chloride, Choline Chloride, Calcium Carbonate, Salt, Vegetable Broth, Tricalcium Phosphate, minerals, vitamins</t>
        </is>
      </c>
      <c r="I65" s="11" t="inlineStr">
        <is>
          <t>Y</t>
        </is>
      </c>
      <c r="K65" s="11" t="n">
        <v>0</v>
      </c>
      <c r="L65" s="11" t="inlineStr">
        <is>
          <t>Excellent</t>
        </is>
      </c>
      <c r="M65" s="11" t="n"/>
      <c r="N65" s="11" t="inlineStr">
        <is>
          <t>Y</t>
        </is>
      </c>
      <c r="O65" s="11" t="inlineStr">
        <is>
          <t>Y</t>
        </is>
      </c>
      <c r="P65" s="12" t="n"/>
      <c r="Q65" s="10" t="n">
        <v>78</v>
      </c>
      <c r="R65" s="15" t="n">
        <v>50</v>
      </c>
      <c r="S65" s="20" t="n">
        <v>0</v>
      </c>
      <c r="T65" s="20" t="n">
        <v>100</v>
      </c>
      <c r="U65" s="21" t="inlineStr">
        <is>
          <t>High</t>
        </is>
      </c>
    </row>
    <row r="66">
      <c r="A66" s="10" t="inlineStr">
        <is>
          <t>RAWZ</t>
        </is>
      </c>
      <c r="B66" s="10" t="inlineStr">
        <is>
          <t>96% Salmon Pate</t>
        </is>
      </c>
      <c r="C66" s="10" t="n">
        <v>3</v>
      </c>
      <c r="D66" s="10" t="n">
        <v>108</v>
      </c>
      <c r="E66" s="10" t="n">
        <v>36</v>
      </c>
      <c r="F66" s="10" t="n">
        <v>10.5</v>
      </c>
      <c r="H66" s="10" t="inlineStr">
        <is>
          <t>Salmon, Fish Broth, Tricalcium Phosphate, Fenugreek Seeds, ...</t>
        </is>
      </c>
      <c r="I66" s="12" t="n"/>
      <c r="K66" s="11" t="n">
        <v>0</v>
      </c>
      <c r="L66" s="11" t="inlineStr">
        <is>
          <t>Excellent</t>
        </is>
      </c>
      <c r="M66" s="12" t="n"/>
      <c r="N66" s="12" t="n"/>
      <c r="O66" s="11" t="inlineStr">
        <is>
          <t>Y</t>
        </is>
      </c>
      <c r="P66" s="12" t="n"/>
      <c r="Q66" s="10" t="n">
        <v>78</v>
      </c>
      <c r="R66" s="14" t="n">
        <v>47.7</v>
      </c>
      <c r="S66" s="20" t="n">
        <v>0</v>
      </c>
      <c r="T66" s="20" t="n">
        <v>100</v>
      </c>
      <c r="U66" s="21" t="inlineStr">
        <is>
          <t>High</t>
        </is>
      </c>
    </row>
    <row r="67">
      <c r="A67" s="10" t="inlineStr">
        <is>
          <t>Instinct</t>
        </is>
      </c>
      <c r="B67" s="10" t="inlineStr">
        <is>
          <t>LID Real Turkey Pate</t>
        </is>
      </c>
      <c r="C67" s="10" t="n">
        <v>5.5</v>
      </c>
      <c r="D67" s="10" t="n">
        <v>207</v>
      </c>
      <c r="E67" s="10" t="n">
        <v>37.63636363636363</v>
      </c>
      <c r="F67" s="10" t="n">
        <v>11.5</v>
      </c>
      <c r="H67" s="10" t="inlineStr">
        <is>
          <t>Turkey, Turkey Broth, Turkey Liver, Peas, Pea Protein, Montmorillonite Clay, Marine Microalgae Oil, Potassium Chloride, Ground Flaxseeds, minerals, vitamins, Taurine</t>
        </is>
      </c>
      <c r="I67" s="11" t="inlineStr">
        <is>
          <t>Y</t>
        </is>
      </c>
      <c r="K67" s="12" t="n">
        <v>2</v>
      </c>
      <c r="L67" s="14" t="inlineStr">
        <is>
          <t>Moderate</t>
        </is>
      </c>
      <c r="M67" s="12" t="n"/>
      <c r="N67" s="11" t="inlineStr">
        <is>
          <t>Y</t>
        </is>
      </c>
      <c r="O67" s="11" t="inlineStr">
        <is>
          <t>Y</t>
        </is>
      </c>
      <c r="P67" s="12" t="n"/>
      <c r="Q67" s="10" t="n">
        <v>78</v>
      </c>
      <c r="R67" s="15" t="n">
        <v>52.3</v>
      </c>
      <c r="S67" s="20" t="n">
        <v>1</v>
      </c>
      <c r="T67" s="20" t="n">
        <v>24</v>
      </c>
      <c r="U67" s="23" t="inlineStr">
        <is>
          <t>Low</t>
        </is>
      </c>
    </row>
    <row r="68">
      <c r="A68" s="10" t="inlineStr">
        <is>
          <t>Wellness CORE</t>
        </is>
      </c>
      <c r="B68" s="10" t="inlineStr">
        <is>
          <t>Signature Selects Chicken &amp; Lamb (algae oil)</t>
        </is>
      </c>
      <c r="C68" s="10" t="n">
        <v>3</v>
      </c>
      <c r="D68" s="10" t="n">
        <v>82</v>
      </c>
      <c r="E68" s="10" t="n">
        <v>27.33333333333333</v>
      </c>
      <c r="F68" s="10" t="n">
        <v>10</v>
      </c>
      <c r="H68" s="10" t="inlineStr">
        <is>
          <t>Chicken, Chicken Broth, Water, Tapioca Starch, Lamb, Potato Starch, Chicken Liver, Eggs, Natural Flavor, Salt, Marine Microalgae Oil, Dried Chicory Root, gums</t>
        </is>
      </c>
      <c r="I68" s="11" t="inlineStr">
        <is>
          <t>Y</t>
        </is>
      </c>
      <c r="K68" s="12" t="n">
        <v>5</v>
      </c>
      <c r="L68" s="13" t="inlineStr">
        <is>
          <t>Poor</t>
        </is>
      </c>
      <c r="M68" s="12" t="n"/>
      <c r="N68" s="11" t="inlineStr">
        <is>
          <t>Y</t>
        </is>
      </c>
      <c r="O68" s="12" t="n"/>
      <c r="P68" s="11" t="inlineStr">
        <is>
          <t>Y</t>
        </is>
      </c>
      <c r="Q68" s="10" t="n">
        <v>78</v>
      </c>
      <c r="R68" s="14" t="n">
        <v>45.5</v>
      </c>
      <c r="S68" s="20" t="n">
        <v>0</v>
      </c>
      <c r="T68" s="20" t="n">
        <v>100</v>
      </c>
      <c r="U68" s="21" t="inlineStr">
        <is>
          <t>High</t>
        </is>
      </c>
    </row>
    <row r="69">
      <c r="A69" s="10" t="inlineStr">
        <is>
          <t>Acana</t>
        </is>
      </c>
      <c r="B69" s="10" t="inlineStr">
        <is>
          <t>Premium Pate Lamb &amp; Liver</t>
        </is>
      </c>
      <c r="C69" s="10" t="n">
        <v>3</v>
      </c>
      <c r="D69" s="10" t="n">
        <v>85</v>
      </c>
      <c r="E69" s="10" t="n">
        <v>28.33333333333333</v>
      </c>
      <c r="F69" s="10" t="n">
        <v>9</v>
      </c>
      <c r="H69" s="10" t="inlineStr">
        <is>
          <t>Lamb, Lamb Liver, Beef Bone Broth, Chicken Bone Broth, Lamb Kidney, Chicken, Chicken Liver, Pumpkin, Locust Bean Gum, Taurine, Sunflower Oil (no fish, no mussel)</t>
        </is>
      </c>
      <c r="I69" s="12" t="n"/>
      <c r="J69" s="14" t="inlineStr">
        <is>
          <t>Y</t>
        </is>
      </c>
      <c r="K69" s="11" t="n">
        <v>0</v>
      </c>
      <c r="L69" s="11" t="inlineStr">
        <is>
          <t>Excellent</t>
        </is>
      </c>
      <c r="M69" s="12" t="n"/>
      <c r="N69" s="12" t="n"/>
      <c r="O69" s="11" t="inlineStr">
        <is>
          <t>Y</t>
        </is>
      </c>
      <c r="P69" s="12" t="n"/>
      <c r="Q69" s="10" t="n">
        <v>78</v>
      </c>
      <c r="R69" s="13" t="n">
        <v>40.9</v>
      </c>
      <c r="S69" s="20" t="n">
        <v>0</v>
      </c>
      <c r="T69" s="20" t="n">
        <v>100</v>
      </c>
      <c r="U69" s="21" t="inlineStr">
        <is>
          <t>High</t>
        </is>
      </c>
    </row>
    <row r="70">
      <c r="A70" s="10" t="inlineStr">
        <is>
          <t>Dr. Elsey's</t>
        </is>
      </c>
      <c r="B70" s="10" t="inlineStr">
        <is>
          <t>cleanprotein Salmon Pate</t>
        </is>
      </c>
      <c r="C70" s="10" t="n">
        <v>5.3</v>
      </c>
      <c r="D70" s="10" t="n">
        <v>172</v>
      </c>
      <c r="E70" s="10" t="n">
        <v>32.45283018867924</v>
      </c>
      <c r="F70" s="10" t="n">
        <v>9</v>
      </c>
      <c r="H70" s="10" t="inlineStr">
        <is>
          <t>Salmon, Salmon Broth, Dried Egg Product, Agar-Agar, Natural Flavor, New Zealand Green Mussel, Dried Barley Grass, Potassium Chloride</t>
        </is>
      </c>
      <c r="I70" s="12" t="n"/>
      <c r="J70" s="14" t="inlineStr">
        <is>
          <t>Y</t>
        </is>
      </c>
      <c r="K70" s="11" t="n">
        <v>0</v>
      </c>
      <c r="L70" s="11" t="inlineStr">
        <is>
          <t>Excellent</t>
        </is>
      </c>
      <c r="M70" s="12" t="n"/>
      <c r="N70" s="12" t="n"/>
      <c r="O70" s="11" t="inlineStr">
        <is>
          <t>Y</t>
        </is>
      </c>
      <c r="P70" s="12" t="n"/>
      <c r="Q70" s="10" t="n">
        <v>78</v>
      </c>
      <c r="R70" s="13" t="n">
        <v>40.9</v>
      </c>
      <c r="S70" s="20" t="n">
        <v>0</v>
      </c>
      <c r="T70" s="20" t="n">
        <v>100</v>
      </c>
      <c r="U70" s="21" t="inlineStr">
        <is>
          <t>High</t>
        </is>
      </c>
    </row>
    <row r="71">
      <c r="A71" s="10" t="inlineStr">
        <is>
          <t>Tiki Cat</t>
        </is>
      </c>
      <c r="B71" s="10" t="inlineStr">
        <is>
          <t>Silver Chicken (broth pate, senior)</t>
        </is>
      </c>
      <c r="C71" s="10" t="n">
        <v>2.8</v>
      </c>
      <c r="D71" s="10" t="n">
        <v>62</v>
      </c>
      <c r="E71" s="10" t="n">
        <v>22.14285714285715</v>
      </c>
      <c r="F71" s="10" t="n">
        <v>11</v>
      </c>
      <c r="H71" s="10" t="inlineStr">
        <is>
          <t>Chicken Broth, Chicken, Coconut Oil, Pumpkin, Dried Egg, Tricalcium Phosphate, Potassium Chloride, Taurine, Agar Agar, Xanthan Gum, Tuna Oil</t>
        </is>
      </c>
      <c r="I71" s="12" t="n"/>
      <c r="K71" s="11" t="n">
        <v>0</v>
      </c>
      <c r="L71" s="11" t="inlineStr">
        <is>
          <t>Excellent</t>
        </is>
      </c>
      <c r="M71" s="12" t="n"/>
      <c r="N71" s="12" t="n"/>
      <c r="O71" s="11" t="inlineStr">
        <is>
          <t>Y</t>
        </is>
      </c>
      <c r="P71" s="11" t="inlineStr">
        <is>
          <t>Y</t>
        </is>
      </c>
      <c r="Q71" s="10" t="n">
        <v>78</v>
      </c>
      <c r="R71" s="15" t="n">
        <v>50</v>
      </c>
      <c r="S71" s="20" t="n">
        <v>0</v>
      </c>
      <c r="T71" s="20" t="n">
        <v>100</v>
      </c>
      <c r="U71" s="21" t="inlineStr">
        <is>
          <t>High</t>
        </is>
      </c>
    </row>
    <row r="72">
      <c r="A72" s="10" t="inlineStr">
        <is>
          <t>Tiki Cat</t>
        </is>
      </c>
      <c r="B72" s="10" t="inlineStr">
        <is>
          <t>Silver Chicken &amp; Salmon (broth pate)</t>
        </is>
      </c>
      <c r="C72" s="10" t="n">
        <v>2.8</v>
      </c>
      <c r="D72" s="10" t="n">
        <v>60</v>
      </c>
      <c r="E72" s="10" t="n">
        <v>21.42857142857143</v>
      </c>
      <c r="F72" s="10" t="n">
        <v>11</v>
      </c>
      <c r="H72" s="10" t="inlineStr">
        <is>
          <t>Chicken Broth, Chicken, Coconut Oil, Salmon, Chicken Liver, Pumpkin, Dried Egg, Agar Agar, Xanthan Gum, Tuna Oil</t>
        </is>
      </c>
      <c r="I72" s="12" t="n"/>
      <c r="K72" s="11" t="n">
        <v>0</v>
      </c>
      <c r="L72" s="11" t="inlineStr">
        <is>
          <t>Excellent</t>
        </is>
      </c>
      <c r="M72" s="12" t="n"/>
      <c r="N72" s="12" t="n"/>
      <c r="O72" s="11" t="inlineStr">
        <is>
          <t>Y</t>
        </is>
      </c>
      <c r="P72" s="11" t="inlineStr">
        <is>
          <t>Y</t>
        </is>
      </c>
      <c r="Q72" s="10" t="n">
        <v>78</v>
      </c>
      <c r="R72" s="15" t="n">
        <v>50</v>
      </c>
      <c r="S72" s="20" t="n">
        <v>0</v>
      </c>
      <c r="T72" s="20" t="n">
        <v>100</v>
      </c>
      <c r="U72" s="21" t="inlineStr">
        <is>
          <t>High</t>
        </is>
      </c>
    </row>
    <row r="73">
      <c r="A73" s="10" t="inlineStr">
        <is>
          <t>Tiki Cat</t>
        </is>
      </c>
      <c r="B73" s="10" t="inlineStr">
        <is>
          <t>Luau Wild Salmon Pate</t>
        </is>
      </c>
      <c r="C73" s="10" t="n">
        <v>2.8</v>
      </c>
      <c r="D73" s="10" t="n">
        <v>72</v>
      </c>
      <c r="E73" s="10" t="n">
        <v>25.71428571428572</v>
      </c>
      <c r="F73" s="10" t="n">
        <v>11</v>
      </c>
      <c r="H73" s="10" t="inlineStr">
        <is>
          <t>Salmon Broth, Salmon, Sunflower Seed Oil, Dried Egg Product, Agar Agar, Xanthan Gum, Tuna Oil</t>
        </is>
      </c>
      <c r="I73" s="12" t="n"/>
      <c r="K73" s="11" t="n">
        <v>0</v>
      </c>
      <c r="L73" s="11" t="inlineStr">
        <is>
          <t>Excellent</t>
        </is>
      </c>
      <c r="M73" s="12" t="n"/>
      <c r="N73" s="12" t="n"/>
      <c r="O73" s="11" t="inlineStr">
        <is>
          <t>Y</t>
        </is>
      </c>
      <c r="P73" s="11" t="inlineStr">
        <is>
          <t>Y</t>
        </is>
      </c>
      <c r="Q73" s="10" t="n">
        <v>78</v>
      </c>
      <c r="R73" s="15" t="n">
        <v>50</v>
      </c>
      <c r="S73" s="20" t="n">
        <v>0</v>
      </c>
      <c r="T73" s="20" t="n">
        <v>100</v>
      </c>
      <c r="U73" s="21" t="inlineStr">
        <is>
          <t>High</t>
        </is>
      </c>
    </row>
    <row r="74">
      <c r="A74" s="10" t="inlineStr">
        <is>
          <t>Nulo</t>
        </is>
      </c>
      <c r="B74" s="10" t="inlineStr">
        <is>
          <t>Freestyle Silky Mousse Chicken &amp; Duck</t>
        </is>
      </c>
      <c r="C74" s="10" t="n">
        <v>2.8</v>
      </c>
      <c r="H74" s="10" t="inlineStr">
        <is>
          <t>Chicken, Duck</t>
        </is>
      </c>
      <c r="I74" s="11" t="inlineStr">
        <is>
          <t>Y</t>
        </is>
      </c>
      <c r="K74" s="11" t="n">
        <v>0</v>
      </c>
      <c r="L74" s="11" t="inlineStr">
        <is>
          <t>Excellent</t>
        </is>
      </c>
      <c r="M74" s="12" t="n"/>
      <c r="N74" s="11" t="inlineStr">
        <is>
          <t>Y</t>
        </is>
      </c>
      <c r="O74" s="11" t="inlineStr">
        <is>
          <t>Y</t>
        </is>
      </c>
      <c r="P74" s="12" t="n"/>
      <c r="S74" s="20" t="n">
        <v>0</v>
      </c>
      <c r="T74" s="20" t="n">
        <v>100</v>
      </c>
      <c r="U74" s="21" t="inlineStr">
        <is>
          <t>High</t>
        </is>
      </c>
    </row>
    <row r="75">
      <c r="A75" s="10" t="inlineStr">
        <is>
          <t>Catit</t>
        </is>
      </c>
      <c r="B75" s="10" t="inlineStr">
        <is>
          <t>Creamy lickable Chicken</t>
        </is>
      </c>
      <c r="C75" s="10" t="n">
        <v>1.4</v>
      </c>
      <c r="D75" s="10" t="n">
        <v>15</v>
      </c>
      <c r="E75" s="10" t="n">
        <v>10.71428571428572</v>
      </c>
      <c r="F75" s="10" t="n">
        <v>6</v>
      </c>
      <c r="H75" s="10" t="inlineStr">
        <is>
          <t>Water, Chicken, Modified Tapioca Starch, Natural Flavor, Chicken Liver, Rice Bran Oil, Locust Bean Gum, Taurine</t>
        </is>
      </c>
      <c r="I75" s="11" t="inlineStr">
        <is>
          <t>Y</t>
        </is>
      </c>
      <c r="K75" s="11" t="n">
        <v>0</v>
      </c>
      <c r="L75" s="11" t="inlineStr">
        <is>
          <t>Excellent</t>
        </is>
      </c>
      <c r="M75" s="12" t="n"/>
      <c r="N75" s="11" t="inlineStr">
        <is>
          <t>Y</t>
        </is>
      </c>
      <c r="O75" s="12" t="n"/>
      <c r="P75" s="12" t="n"/>
      <c r="Q75" s="10" t="n">
        <v>78</v>
      </c>
      <c r="R75" s="13" t="n">
        <v>27.3</v>
      </c>
      <c r="S75" s="20" t="n">
        <v>0</v>
      </c>
      <c r="T75" s="20" t="n">
        <v>100</v>
      </c>
      <c r="U75" s="21" t="inlineStr">
        <is>
          <t>High</t>
        </is>
      </c>
    </row>
    <row r="76">
      <c r="A76" s="10" t="inlineStr">
        <is>
          <t>Sheba</t>
        </is>
      </c>
      <c r="B76" s="10" t="inlineStr">
        <is>
          <t>Meaty Tender Sticks / lickable Chicken</t>
        </is>
      </c>
      <c r="C76" s="10" t="n">
        <v>1.4</v>
      </c>
      <c r="D76" s="10" t="n">
        <v>9</v>
      </c>
      <c r="E76" s="10" t="n">
        <v>6.428571428571429</v>
      </c>
      <c r="F76" s="10" t="n">
        <v>9</v>
      </c>
      <c r="H76" s="10" t="inlineStr">
        <is>
          <t>Chicken Bone Broth, Chicken, Tapioca Starch, Sunflower Oil, Natural Roasted Chicken Flavor, Natural Flavor, Guar Gum</t>
        </is>
      </c>
      <c r="I76" s="11" t="inlineStr">
        <is>
          <t>Y</t>
        </is>
      </c>
      <c r="K76" s="11" t="n">
        <v>0</v>
      </c>
      <c r="L76" s="11" t="inlineStr">
        <is>
          <t>Excellent</t>
        </is>
      </c>
      <c r="M76" s="12" t="n"/>
      <c r="N76" s="11" t="inlineStr">
        <is>
          <t>Y</t>
        </is>
      </c>
      <c r="O76" s="11" t="inlineStr">
        <is>
          <t>Y</t>
        </is>
      </c>
      <c r="P76" s="12" t="n"/>
      <c r="Q76" s="10" t="n">
        <v>78</v>
      </c>
      <c r="R76" s="13" t="n">
        <v>40.9</v>
      </c>
      <c r="S76" s="20" t="n">
        <v>0</v>
      </c>
      <c r="T76" s="20" t="n">
        <v>100</v>
      </c>
      <c r="U76" s="21" t="inlineStr">
        <is>
          <t>High</t>
        </is>
      </c>
    </row>
    <row r="77">
      <c r="A77" s="10" t="inlineStr">
        <is>
          <t>RAWZ</t>
        </is>
      </c>
      <c r="B77" s="10" t="inlineStr">
        <is>
          <t>96% Chicken &amp; Chicken Liver w/ Goat's Milk</t>
        </is>
      </c>
      <c r="C77" s="10" t="n">
        <v>5.5</v>
      </c>
      <c r="D77" s="10" t="n">
        <v>186</v>
      </c>
      <c r="E77" s="10" t="n">
        <v>33.81818181818182</v>
      </c>
      <c r="F77" s="10" t="n">
        <v>10</v>
      </c>
      <c r="H77" s="10" t="inlineStr">
        <is>
          <t>Chicken, Chicken Broth, Chicken Liver, Goat's Milk, Natural Flavor, Tricalcium Phosphate, Fenugreek Seeds, Salt, Dandelion Greens (goat milk-lactose)</t>
        </is>
      </c>
      <c r="I77" s="11" t="inlineStr">
        <is>
          <t>Y</t>
        </is>
      </c>
      <c r="K77" s="10" t="n">
        <v>0</v>
      </c>
      <c r="L77" s="11" t="inlineStr">
        <is>
          <t>Excellent</t>
        </is>
      </c>
      <c r="N77" s="11" t="inlineStr">
        <is>
          <t>Y</t>
        </is>
      </c>
      <c r="O77" s="11" t="inlineStr">
        <is>
          <t>Y</t>
        </is>
      </c>
      <c r="P77" s="12" t="n"/>
      <c r="Q77" s="10" t="n">
        <v>78</v>
      </c>
      <c r="R77" s="14" t="n">
        <v>45.5</v>
      </c>
      <c r="S77" s="20" t="n">
        <v>0</v>
      </c>
      <c r="T77" s="20" t="n">
        <v>100</v>
      </c>
      <c r="U77" s="21" t="inlineStr">
        <is>
          <t>High</t>
        </is>
      </c>
    </row>
    <row r="78">
      <c r="A78" s="10" t="inlineStr">
        <is>
          <t>RAWZ</t>
        </is>
      </c>
      <c r="B78" s="10" t="inlineStr">
        <is>
          <t>96% Turkey &amp; Turkey Liver w/ Goat's Milk</t>
        </is>
      </c>
      <c r="C78" s="10" t="n">
        <v>5.5</v>
      </c>
      <c r="D78" s="10" t="n">
        <v>180</v>
      </c>
      <c r="E78" s="10" t="n">
        <v>32.72727272727273</v>
      </c>
      <c r="F78" s="10" t="n">
        <v>9</v>
      </c>
      <c r="H78" s="10" t="inlineStr">
        <is>
          <t>Turkey, Turkey Broth, Turkey Liver, Goat's Milk, Natural Flavor, Tricalcium Phosphate, Fenugreek Seeds, Salt, Salmon Oil, Dandelion Greens (goat milk)</t>
        </is>
      </c>
      <c r="I78" s="12" t="n"/>
      <c r="K78" s="10" t="n">
        <v>0</v>
      </c>
      <c r="L78" s="11" t="inlineStr">
        <is>
          <t>Excellent</t>
        </is>
      </c>
      <c r="N78" s="12" t="n"/>
      <c r="O78" s="11" t="inlineStr">
        <is>
          <t>Y</t>
        </is>
      </c>
      <c r="P78" s="12" t="n"/>
      <c r="Q78" s="10" t="n">
        <v>78</v>
      </c>
      <c r="R78" s="13" t="n">
        <v>40.9</v>
      </c>
      <c r="S78" s="20" t="n">
        <v>0</v>
      </c>
      <c r="T78" s="20" t="n">
        <v>100</v>
      </c>
      <c r="U78" s="21" t="inlineStr">
        <is>
          <t>High</t>
        </is>
      </c>
    </row>
    <row r="79">
      <c r="A79" s="10" t="inlineStr">
        <is>
          <t>RAWZ</t>
        </is>
      </c>
      <c r="B79" s="10" t="inlineStr">
        <is>
          <t>96% Turkey &amp; Turkey Liver Pate</t>
        </is>
      </c>
      <c r="C79" s="10" t="n">
        <v>5.5</v>
      </c>
      <c r="D79" s="10" t="n">
        <v>188</v>
      </c>
      <c r="E79" s="10" t="n">
        <v>34.18181818181818</v>
      </c>
      <c r="F79" s="10" t="n">
        <v>9</v>
      </c>
      <c r="H79" s="10" t="inlineStr">
        <is>
          <t>Turkey, Turkey Broth, Turkey Liver, Fenugreek Seed, Dandelion Greens, Taurine, Natural Flavor, Tricalcium Phosphate, Salmon Oil</t>
        </is>
      </c>
      <c r="I79" s="12" t="n"/>
      <c r="K79" s="10" t="n">
        <v>0</v>
      </c>
      <c r="L79" s="11" t="inlineStr">
        <is>
          <t>Excellent</t>
        </is>
      </c>
      <c r="N79" s="12" t="n"/>
      <c r="O79" s="11" t="inlineStr">
        <is>
          <t>Y</t>
        </is>
      </c>
      <c r="P79" s="12" t="n"/>
      <c r="Q79" s="10" t="n">
        <v>78</v>
      </c>
      <c r="R79" s="13" t="n">
        <v>40.9</v>
      </c>
      <c r="S79" s="20" t="n">
        <v>0</v>
      </c>
      <c r="T79" s="20" t="n">
        <v>100</v>
      </c>
      <c r="U79" s="21" t="inlineStr">
        <is>
          <t>High</t>
        </is>
      </c>
    </row>
    <row r="80">
      <c r="A80" s="10" t="inlineStr">
        <is>
          <t>RAWZ</t>
        </is>
      </c>
      <c r="B80" s="10" t="inlineStr">
        <is>
          <t>96% Salmon Pate</t>
        </is>
      </c>
      <c r="C80" s="10" t="n">
        <v>5.5</v>
      </c>
      <c r="D80" s="10" t="n">
        <v>198</v>
      </c>
      <c r="E80" s="10" t="n">
        <v>36</v>
      </c>
      <c r="F80" s="10" t="n">
        <v>10.5</v>
      </c>
      <c r="H80" s="10" t="inlineStr">
        <is>
          <t>Salmon, Fish Broth, Fenugreek Seed, Dandelion Greens, Taurine, Natural Flavor, Tricalcium Phosphate</t>
        </is>
      </c>
      <c r="I80" s="12" t="n"/>
      <c r="K80" s="10" t="n">
        <v>0</v>
      </c>
      <c r="L80" s="11" t="inlineStr">
        <is>
          <t>Excellent</t>
        </is>
      </c>
      <c r="N80" s="12" t="n"/>
      <c r="O80" s="11" t="inlineStr">
        <is>
          <t>Y</t>
        </is>
      </c>
      <c r="P80" s="12" t="n"/>
      <c r="Q80" s="10" t="n">
        <v>78</v>
      </c>
      <c r="R80" s="14" t="n">
        <v>47.7</v>
      </c>
      <c r="S80" s="20" t="n">
        <v>0</v>
      </c>
      <c r="T80" s="20" t="n">
        <v>100</v>
      </c>
      <c r="U80" s="21" t="inlineStr">
        <is>
          <t>High</t>
        </is>
      </c>
    </row>
    <row r="81">
      <c r="A81" s="10" t="inlineStr">
        <is>
          <t>RAWZ</t>
        </is>
      </c>
      <c r="B81" s="10" t="inlineStr">
        <is>
          <t>Senior Salmon, Tuna &amp; Green Mussels</t>
        </is>
      </c>
      <c r="C81" s="10" t="n">
        <v>5.5</v>
      </c>
      <c r="D81" s="10" t="n">
        <v>186</v>
      </c>
      <c r="E81" s="10" t="n">
        <v>33.81818181818182</v>
      </c>
      <c r="F81" s="10" t="n">
        <v>10.5</v>
      </c>
      <c r="H81" s="10" t="inlineStr">
        <is>
          <t>Salmon, Tuna, Fish Broth, Green Mussels, Pumpkin, Natural Flavor, Fenugreek Seed, Dandelion Greens, L-Carnitine, Kelp</t>
        </is>
      </c>
      <c r="I81" s="12" t="n"/>
      <c r="J81" s="14" t="inlineStr">
        <is>
          <t>Y</t>
        </is>
      </c>
      <c r="K81" s="10" t="n">
        <v>0</v>
      </c>
      <c r="L81" s="11" t="inlineStr">
        <is>
          <t>Excellent</t>
        </is>
      </c>
      <c r="N81" s="12" t="n"/>
      <c r="O81" s="11" t="inlineStr">
        <is>
          <t>Y</t>
        </is>
      </c>
      <c r="P81" s="12" t="n"/>
      <c r="Q81" s="10" t="n">
        <v>78</v>
      </c>
      <c r="R81" s="14" t="n">
        <v>47.7</v>
      </c>
      <c r="S81" s="20" t="n">
        <v>0</v>
      </c>
      <c r="T81" s="20" t="n">
        <v>100</v>
      </c>
      <c r="U81" s="21" t="inlineStr">
        <is>
          <t>High</t>
        </is>
      </c>
    </row>
    <row r="82">
      <c r="A82" s="10" t="inlineStr">
        <is>
          <t>RAWZ</t>
        </is>
      </c>
      <c r="B82" s="10" t="inlineStr">
        <is>
          <t>Immune Support Salmon &amp; Tuna</t>
        </is>
      </c>
      <c r="C82" s="10" t="n">
        <v>5.5</v>
      </c>
      <c r="D82" s="10" t="n">
        <v>147</v>
      </c>
      <c r="E82" s="10" t="n">
        <v>26.72727272727273</v>
      </c>
      <c r="F82" s="10" t="n">
        <v>9</v>
      </c>
      <c r="H82" s="10" t="inlineStr">
        <is>
          <t>Salmon, Fish Broth, Tuna, Miscanthus Grass, Natural Flavor, Egg, Fenugreek Seed, Dandelion Greens, Marine Microalgae Oil</t>
        </is>
      </c>
      <c r="I82" s="12" t="n"/>
      <c r="K82" s="10" t="n">
        <v>0</v>
      </c>
      <c r="L82" s="11" t="inlineStr">
        <is>
          <t>Excellent</t>
        </is>
      </c>
      <c r="N82" s="12" t="n"/>
      <c r="O82" s="11" t="inlineStr">
        <is>
          <t>Y</t>
        </is>
      </c>
      <c r="P82" s="12" t="n"/>
      <c r="Q82" s="10" t="n">
        <v>78</v>
      </c>
      <c r="R82" s="13" t="n">
        <v>40.9</v>
      </c>
      <c r="S82" s="20" t="n">
        <v>0</v>
      </c>
      <c r="T82" s="20" t="n">
        <v>100</v>
      </c>
      <c r="U82" s="21" t="inlineStr">
        <is>
          <t>High</t>
        </is>
      </c>
    </row>
    <row r="83">
      <c r="A83" s="10" t="inlineStr">
        <is>
          <t>RAWZ</t>
        </is>
      </c>
      <c r="B83" s="10" t="inlineStr">
        <is>
          <t>Immune Support Chicken &amp; Chicken Liver</t>
        </is>
      </c>
      <c r="C83" s="10" t="n">
        <v>5.5</v>
      </c>
      <c r="D83" s="10" t="n">
        <v>192</v>
      </c>
      <c r="E83" s="10" t="n">
        <v>34.90909090909091</v>
      </c>
      <c r="F83" s="10" t="n">
        <v>10</v>
      </c>
      <c r="H83" s="10" t="inlineStr">
        <is>
          <t>Chicken, Chicken Bone Broth, Chicken Hearts, Chicken Liver, Green Mussels, Natural Flavor, Fenugreek Seed, Marine Microalgae Oil, Miscanthus Grass, Dandelion Greens</t>
        </is>
      </c>
      <c r="I83" s="11" t="inlineStr">
        <is>
          <t>Y</t>
        </is>
      </c>
      <c r="J83" s="14" t="inlineStr">
        <is>
          <t>Y</t>
        </is>
      </c>
      <c r="K83" s="10" t="n">
        <v>0</v>
      </c>
      <c r="L83" s="11" t="inlineStr">
        <is>
          <t>Excellent</t>
        </is>
      </c>
      <c r="N83" s="12" t="n"/>
      <c r="O83" s="11" t="inlineStr">
        <is>
          <t>Y</t>
        </is>
      </c>
      <c r="P83" s="12" t="n"/>
      <c r="Q83" s="10" t="n">
        <v>78</v>
      </c>
      <c r="R83" s="14" t="n">
        <v>45.5</v>
      </c>
      <c r="S83" s="20" t="n">
        <v>0</v>
      </c>
      <c r="T83" s="20" t="n">
        <v>100</v>
      </c>
      <c r="U83" s="21" t="inlineStr">
        <is>
          <t>High</t>
        </is>
      </c>
    </row>
    <row r="84">
      <c r="A84" s="10" t="inlineStr">
        <is>
          <t>RAWZ</t>
        </is>
      </c>
      <c r="B84" s="10" t="inlineStr">
        <is>
          <t>Hip &amp; Joint Salmon, Tuna &amp; Green Mussels</t>
        </is>
      </c>
      <c r="C84" s="10" t="n">
        <v>5.5</v>
      </c>
      <c r="D84" s="10" t="n">
        <v>149</v>
      </c>
      <c r="E84" s="10" t="n">
        <v>27.09090909090909</v>
      </c>
      <c r="F84" s="10" t="n">
        <v>9</v>
      </c>
      <c r="H84" s="10" t="inlineStr">
        <is>
          <t>Salmon, Fish Broth, Tuna, Pork Liver, Green Mussels, Miscanthus Grass, Sunflower Oil, Natural Flavor, Fenugreek Seed, Marine Microalgae Oil, Dandelion Greens</t>
        </is>
      </c>
      <c r="I84" s="12" t="n"/>
      <c r="J84" s="14" t="inlineStr">
        <is>
          <t>Y</t>
        </is>
      </c>
      <c r="K84" s="10" t="n">
        <v>0</v>
      </c>
      <c r="L84" s="11" t="inlineStr">
        <is>
          <t>Excellent</t>
        </is>
      </c>
      <c r="N84" s="12" t="n"/>
      <c r="O84" s="11" t="inlineStr">
        <is>
          <t>Y</t>
        </is>
      </c>
      <c r="P84" s="12" t="n"/>
      <c r="Q84" s="10" t="n">
        <v>78</v>
      </c>
      <c r="R84" s="13" t="n">
        <v>40.9</v>
      </c>
      <c r="S84" s="20" t="n">
        <v>0</v>
      </c>
      <c r="T84" s="20" t="n">
        <v>100</v>
      </c>
      <c r="U84" s="21" t="inlineStr">
        <is>
          <t>High</t>
        </is>
      </c>
    </row>
    <row r="85">
      <c r="A85" s="10" t="inlineStr">
        <is>
          <t>RAWZ</t>
        </is>
      </c>
      <c r="B85" s="10" t="inlineStr">
        <is>
          <t>Digestive Support Chicken &amp; Salmon</t>
        </is>
      </c>
      <c r="C85" s="10" t="n">
        <v>5.5</v>
      </c>
      <c r="D85" s="10" t="n">
        <v>186</v>
      </c>
      <c r="E85" s="10" t="n">
        <v>33.81818181818182</v>
      </c>
      <c r="F85" s="10" t="n">
        <v>9</v>
      </c>
      <c r="H85" s="10" t="inlineStr">
        <is>
          <t>Chicken, Chicken Bone Broth, Chicken Hearts, Chicken Liver, Salmon, Pumpkin, Egg, Natural Flavor, Miscanthus Grass, Fenugreek Seed, Marine Microalgae Oil</t>
        </is>
      </c>
      <c r="I85" s="12" t="n"/>
      <c r="K85" s="10" t="n">
        <v>0</v>
      </c>
      <c r="L85" s="11" t="inlineStr">
        <is>
          <t>Excellent</t>
        </is>
      </c>
      <c r="N85" s="12" t="n"/>
      <c r="O85" s="11" t="inlineStr">
        <is>
          <t>Y</t>
        </is>
      </c>
      <c r="P85" s="12" t="n"/>
      <c r="Q85" s="10" t="n">
        <v>78</v>
      </c>
      <c r="R85" s="13" t="n">
        <v>40.9</v>
      </c>
      <c r="S85" s="20" t="n">
        <v>0</v>
      </c>
      <c r="T85" s="20" t="n">
        <v>100</v>
      </c>
      <c r="U85" s="21" t="inlineStr">
        <is>
          <t>High</t>
        </is>
      </c>
    </row>
    <row r="86">
      <c r="A86" s="10" t="inlineStr">
        <is>
          <t>Instinct</t>
        </is>
      </c>
      <c r="B86" s="10" t="inlineStr">
        <is>
          <t>Pate Real Chicken Entree</t>
        </is>
      </c>
      <c r="C86" s="10" t="n">
        <v>3</v>
      </c>
      <c r="D86" s="10" t="n">
        <v>116</v>
      </c>
      <c r="E86" s="10" t="n">
        <v>38.7</v>
      </c>
      <c r="F86" s="10" t="n">
        <v>10</v>
      </c>
      <c r="H86" s="10" t="inlineStr">
        <is>
          <t>Chicken, Chicken Broth, Chicken Liver, Egg Product, Dicalcium Phosphate, Salt, Potassium Chloride, Minerals, Vitamins, Taurine</t>
        </is>
      </c>
      <c r="I86" s="11" t="inlineStr">
        <is>
          <t>Y</t>
        </is>
      </c>
      <c r="K86" s="10" t="n">
        <v>0</v>
      </c>
      <c r="L86" s="11" t="inlineStr">
        <is>
          <t>Excellent</t>
        </is>
      </c>
      <c r="N86" s="11" t="inlineStr">
        <is>
          <t>Y</t>
        </is>
      </c>
      <c r="O86" s="11" t="inlineStr">
        <is>
          <t>Y</t>
        </is>
      </c>
      <c r="P86" s="12" t="n"/>
      <c r="Q86" s="10" t="n">
        <v>78</v>
      </c>
      <c r="R86" s="14" t="n">
        <v>45.5</v>
      </c>
      <c r="S86" s="20" t="n">
        <v>0</v>
      </c>
      <c r="T86" s="20" t="n">
        <v>100</v>
      </c>
      <c r="U86" s="21" t="inlineStr">
        <is>
          <t>High</t>
        </is>
      </c>
    </row>
    <row r="87">
      <c r="A87" s="10" t="inlineStr">
        <is>
          <t>Wellness CORE+</t>
        </is>
      </c>
      <c r="B87" s="10" t="inlineStr">
        <is>
          <t>Healthy Weight Chicken &amp; Tuna Pate</t>
        </is>
      </c>
      <c r="C87" s="10" t="n">
        <v>2.8</v>
      </c>
      <c r="D87" s="10" t="n">
        <v>66</v>
      </c>
      <c r="E87" s="10" t="n">
        <v>23.6</v>
      </c>
      <c r="F87" s="10" t="n">
        <v>11</v>
      </c>
      <c r="H87" s="10" t="inlineStr">
        <is>
          <t>Chicken, Chicken Broth, Water, Tuna, Chicken Liver, L-Carnitine, Taurine, Vitamins, Minerals</t>
        </is>
      </c>
      <c r="I87" s="12" t="n"/>
      <c r="K87" s="10" t="n">
        <v>0</v>
      </c>
      <c r="L87" s="11" t="inlineStr">
        <is>
          <t>Excellent</t>
        </is>
      </c>
      <c r="N87" s="12" t="n"/>
      <c r="O87" s="11" t="inlineStr">
        <is>
          <t>Y</t>
        </is>
      </c>
      <c r="P87" s="11" t="inlineStr">
        <is>
          <t>Y</t>
        </is>
      </c>
      <c r="Q87" s="10" t="n">
        <v>78</v>
      </c>
      <c r="R87" s="15" t="n">
        <v>50</v>
      </c>
      <c r="S87" s="20" t="n">
        <v>0</v>
      </c>
      <c r="T87" s="20" t="n">
        <v>100</v>
      </c>
      <c r="U87" s="21" t="inlineStr">
        <is>
          <t>High</t>
        </is>
      </c>
    </row>
    <row r="88">
      <c r="A88" s="10" t="inlineStr">
        <is>
          <t>Fromm</t>
        </is>
      </c>
      <c r="B88" s="10" t="inlineStr">
        <is>
          <t>Gold Healthy Weight Chicken &amp; Duck Pate</t>
        </is>
      </c>
      <c r="C88" s="10" t="n">
        <v>3</v>
      </c>
      <c r="D88" s="10" t="n">
        <v>74</v>
      </c>
      <c r="E88" s="10" t="n">
        <v>24.7</v>
      </c>
      <c r="F88" s="10" t="n">
        <v>7</v>
      </c>
      <c r="H88" s="10" t="inlineStr">
        <is>
          <t>Chicken, Chicken Liver, Chicken Broth, Duck, Potatoes, Pearled Barley, Taurine, Minerals, Vitamins</t>
        </is>
      </c>
      <c r="I88" s="11" t="inlineStr">
        <is>
          <t>Y</t>
        </is>
      </c>
      <c r="K88" s="10" t="n">
        <v>0</v>
      </c>
      <c r="L88" s="11" t="inlineStr">
        <is>
          <t>Excellent</t>
        </is>
      </c>
      <c r="N88" s="11" t="inlineStr">
        <is>
          <t>Y</t>
        </is>
      </c>
      <c r="O88" s="12" t="n"/>
      <c r="P88" s="12" t="n"/>
      <c r="Q88" s="10" t="n">
        <v>78</v>
      </c>
      <c r="R88" s="13" t="n">
        <v>31.8</v>
      </c>
      <c r="S88" s="20" t="n">
        <v>0</v>
      </c>
      <c r="T88" s="20" t="n">
        <v>100</v>
      </c>
      <c r="U88" s="21" t="inlineStr">
        <is>
          <t>High</t>
        </is>
      </c>
    </row>
    <row r="89">
      <c r="A89" s="10" t="inlineStr">
        <is>
          <t>Tiki Cat</t>
        </is>
      </c>
      <c r="B89" s="10" t="inlineStr">
        <is>
          <t>After Dark Chicken &amp; Organ Pate</t>
        </is>
      </c>
      <c r="C89" s="10" t="n">
        <v>2.8</v>
      </c>
      <c r="D89" s="10" t="n">
        <v>72</v>
      </c>
      <c r="E89" s="10" t="n">
        <v>25.7</v>
      </c>
      <c r="F89" s="10" t="n">
        <v>15</v>
      </c>
      <c r="H89" s="10" t="inlineStr">
        <is>
          <t>Chicken Broth, Chicken, Chicken Liver, Chicken Gizzard, Chicken Heart, Sunflower Oil, Taurine, Vitamins, Minerals</t>
        </is>
      </c>
      <c r="I89" s="11" t="inlineStr">
        <is>
          <t>Y</t>
        </is>
      </c>
      <c r="K89" s="10" t="n">
        <v>0</v>
      </c>
      <c r="L89" s="11" t="inlineStr">
        <is>
          <t>Excellent</t>
        </is>
      </c>
      <c r="N89" s="11" t="inlineStr">
        <is>
          <t>Y</t>
        </is>
      </c>
      <c r="O89" s="11" t="inlineStr">
        <is>
          <t>Y</t>
        </is>
      </c>
      <c r="P89" s="11" t="inlineStr">
        <is>
          <t>Y</t>
        </is>
      </c>
      <c r="Q89" s="10" t="n">
        <v>78</v>
      </c>
      <c r="R89" s="11" t="n">
        <v>68.2</v>
      </c>
      <c r="S89" s="20" t="n">
        <v>0</v>
      </c>
      <c r="T89" s="20" t="n">
        <v>100</v>
      </c>
      <c r="U89" s="21" t="inlineStr">
        <is>
          <t>High</t>
        </is>
      </c>
    </row>
  </sheetData>
  <autoFilter ref="A1:U89"/>
  <pageMargins left="0.75" right="0.75" top="1" bottom="1" header="0.5" footer="0.5"/>
</worksheet>
</file>

<file path=xl/worksheets/sheet3.xml><?xml version="1.0" encoding="utf-8"?>
<worksheet xmlns="http://schemas.openxmlformats.org/spreadsheetml/2006/main">
  <sheetPr>
    <outlinePr summaryBelow="1" summaryRight="1"/>
    <pageSetUpPr/>
  </sheetPr>
  <dimension ref="A1:R154"/>
  <sheetViews>
    <sheetView tabSelected="0" workbookViewId="0">
      <pane ySplit="1" topLeftCell="A2" activePane="bottomLeft" state="frozen"/>
      <selection pane="bottomLeft" activeCell="A1" sqref="A1"/>
    </sheetView>
  </sheetViews>
  <sheetFormatPr baseColWidth="8" defaultRowHeight="15"/>
  <cols>
    <col width="23.46484375" customWidth="1" min="3" max="3"/>
    <col width="8.86328125" customWidth="1" min="4" max="4"/>
    <col width="23.1328125" customWidth="1" min="10" max="10"/>
  </cols>
  <sheetData>
    <row r="1">
      <c r="A1" s="9" t="inlineStr">
        <is>
          <t>Brand</t>
        </is>
      </c>
      <c r="B1" s="9" t="inlineStr">
        <is>
          <t>Flavor</t>
        </is>
      </c>
      <c r="C1" s="9" t="inlineStr">
        <is>
          <t>size (lbs)</t>
        </is>
      </c>
      <c r="D1" s="9" t="inlineStr">
        <is>
          <t>kCal/cup</t>
        </is>
      </c>
      <c r="E1" s="9" t="inlineStr">
        <is>
          <t>protein</t>
        </is>
      </c>
      <c r="F1" s="9" t="inlineStr">
        <is>
          <t>ingredients</t>
        </is>
      </c>
      <c r="G1" s="9" t="inlineStr">
        <is>
          <t>notes</t>
        </is>
      </c>
      <c r="H1" s="9" t="inlineStr">
        <is>
          <t>fish_free</t>
        </is>
      </c>
      <c r="I1" s="9" t="inlineStr">
        <is>
          <t>has_mussel</t>
        </is>
      </c>
      <c r="J1" s="9" t="inlineStr">
        <is>
          <t>fodmap_score</t>
        </is>
      </c>
      <c r="K1" s="9" t="inlineStr">
        <is>
          <t>fodmap_rating</t>
        </is>
      </c>
      <c r="L1" s="9" t="inlineStr">
        <is>
          <t>has_probiotic</t>
        </is>
      </c>
      <c r="M1" s="9" t="inlineStr">
        <is>
          <t>EVIE_ok</t>
        </is>
      </c>
      <c r="N1" s="9" t="inlineStr">
        <is>
          <t>MOCHA_ok</t>
        </is>
      </c>
      <c r="O1" s="9" t="inlineStr">
        <is>
          <t>LATTE_ok</t>
        </is>
      </c>
      <c r="P1" s="9" t="inlineStr">
        <is>
          <t>plant_protein_ct</t>
        </is>
      </c>
      <c r="Q1" s="9" t="inlineStr">
        <is>
          <t>animal_idx</t>
        </is>
      </c>
      <c r="R1" s="9" t="inlineStr">
        <is>
          <t>animal_band</t>
        </is>
      </c>
    </row>
    <row r="2">
      <c r="A2" s="10" t="inlineStr">
        <is>
          <t>Rayne</t>
        </is>
      </c>
      <c r="B2" s="10" t="inlineStr">
        <is>
          <t>kangaroo maintain</t>
        </is>
      </c>
      <c r="C2" s="10" t="n">
        <v>2</v>
      </c>
      <c r="D2" s="10" t="n">
        <v>233</v>
      </c>
      <c r="E2" s="10" t="n">
        <v>46.8</v>
      </c>
      <c r="F2" s="10" t="inlineStr">
        <is>
          <t>Kangaroo, kangaroo liver, potato protein, flaxseed, sunflower oil, miscanthus grass, marine microalgae oil, fructooligosaccharide, calcium chloride, salt, choline chloride, potassium chloride, taurine, vitamins, minerals, mixed tocopherols, rosemary extract.</t>
        </is>
      </c>
      <c r="H2" s="11" t="inlineStr">
        <is>
          <t>Y</t>
        </is>
      </c>
      <c r="J2" s="12" t="n">
        <v>5</v>
      </c>
      <c r="K2" s="13" t="inlineStr">
        <is>
          <t>Poor</t>
        </is>
      </c>
      <c r="L2" s="12" t="n"/>
      <c r="M2" s="11" t="inlineStr">
        <is>
          <t>Y</t>
        </is>
      </c>
      <c r="N2" s="12" t="n"/>
      <c r="O2" s="11" t="inlineStr">
        <is>
          <t>Y</t>
        </is>
      </c>
      <c r="P2" s="20" t="n">
        <v>1</v>
      </c>
      <c r="Q2" s="20" t="n">
        <v>0</v>
      </c>
      <c r="R2" s="23" t="inlineStr">
        <is>
          <t>Low</t>
        </is>
      </c>
    </row>
    <row r="3">
      <c r="A3" s="10" t="inlineStr">
        <is>
          <t>royal canin</t>
        </is>
      </c>
      <c r="B3" s="10" t="inlineStr">
        <is>
          <t>satiety support</t>
        </is>
      </c>
      <c r="C3" s="10" t="n">
        <v>18.7</v>
      </c>
      <c r="D3" s="10" t="n">
        <v>234</v>
      </c>
      <c r="E3" s="10" t="n">
        <v>32</v>
      </c>
      <c r="F3" s="10" t="inlineStr">
        <is>
          <t>Chicken By-Product Meal, Powdered Cellulose, Tapioca, Wheat, Wheat Gluten, Corn Gluten Meal, Natural Flavors, Dried Chicory Root, Chicken Fat, Potassium Chloride, Psyllium Seed Husk, Calcium Sulfate, Sodium Bisulfate, Fish Oil, Sodium Pyrophosphate, Monocalcium Phosphate, Choline Chloride, Vitamins [Dl-Alpha Tocopherol Acetate (Source Of Vitamin E), L-Ascorbyl-2-Polyphosphate (Source Of Vitamin C), Niacin Supplement, Biotin, Riboflavin Supplement, D-Calcium Pantothenate, Pyridoxine Hydrochloride (Vitamin B6), Vitamin A Acetate, Thiamine Mononitrate (Vitamin B1), Vitamin B12 Supplement, Folic Acid, Vitamin D3 Supplement], Taurine, Marigold Extract (Tagetes Erecta L.), Salt, Trace Minerals [Zinc Proteinate, Zinc Oxide, Manganese Proteinate, Ferrous Sulfate, Manganous Oxide, Copper Sulfate, Calcium Iodate, Sodium Selenite, Copper Proteinate], Glucosamine Hydrochloride, L-Carnitine, Chondroitin Sulfate, Rosemary Extract, Preserved With Mixed Tocopherols And Citric Acid.</t>
        </is>
      </c>
      <c r="H3" s="12" t="n"/>
      <c r="J3" s="12" t="n">
        <v>5</v>
      </c>
      <c r="K3" s="13" t="inlineStr">
        <is>
          <t>Poor</t>
        </is>
      </c>
      <c r="L3" s="12" t="n"/>
      <c r="M3" s="12" t="n"/>
      <c r="N3" s="12" t="n"/>
      <c r="O3" s="12" t="n"/>
      <c r="P3" s="20" t="n">
        <v>2</v>
      </c>
      <c r="Q3" s="20" t="n">
        <v>13</v>
      </c>
      <c r="R3" s="23" t="inlineStr">
        <is>
          <t>Low</t>
        </is>
      </c>
    </row>
    <row r="4">
      <c r="A4" s="10" t="inlineStr">
        <is>
          <t>royal canin</t>
        </is>
      </c>
      <c r="B4" s="10" t="inlineStr">
        <is>
          <t>weight care</t>
        </is>
      </c>
      <c r="C4" s="10" t="n">
        <v>14</v>
      </c>
      <c r="D4" s="10" t="n">
        <v>255</v>
      </c>
      <c r="E4" s="10" t="n">
        <v>34</v>
      </c>
      <c r="F4" s="10" t="inlineStr">
        <is>
          <t>Chicken Meal, Pea Fiber, Wheat Gluten, Corn, Corn Gluten Meal, Natural Flavors, Brewers Rice Flour, Brewers Rice, Wheat, Chicken Fat, Dried Plain Beet Pulp, Calcium Sulfate, Fish Oil, Salt, Potassium Chloride, Sodium Pyrophosphate, Monocalcium Phosphate, Psyllium Seed Husk, Calcium Carbonate, Vegetable Oil, Choline Chloride, Vitamins [Dl-Alpha Tocopherol Acetate (Source Of Vitamin E), L-Ascorbyl-2-Polyphosphate (Source Of Vitamin C), Niacin Supplement, Biotin, Riboflavin Supplement, D-Calcium Pantothenate, Pyridoxine Hydrochloride (Vitamin B6), Vitamin A Acetate, Thiamine Mononitrate (Vitamin B1), Vitamin B12 Supplement, Folic Acid, Vitamin D3 Supplement], Taurine, Trace Minerals [Zinc Proteinate, Zinc Oxide, Ferrous Sulfate, Manganese Proteinate, Manganous Oxide, Copper Sulfate, Calcium Iodate, Sodium Selenite, Copper Proteinate], L-Carnitine, Rosemary Extract, Preserved With Mixed Tocopherols And Citric Acid.</t>
        </is>
      </c>
      <c r="H4" s="12" t="n"/>
      <c r="J4" s="12" t="n">
        <v>3</v>
      </c>
      <c r="K4" s="14" t="inlineStr">
        <is>
          <t>Moderate</t>
        </is>
      </c>
      <c r="L4" s="12" t="n"/>
      <c r="M4" s="12" t="n"/>
      <c r="N4" s="11" t="inlineStr">
        <is>
          <t>Y</t>
        </is>
      </c>
      <c r="O4" s="11" t="inlineStr">
        <is>
          <t>Y</t>
        </is>
      </c>
      <c r="P4" s="20" t="n">
        <v>2</v>
      </c>
      <c r="Q4" s="20" t="n">
        <v>52</v>
      </c>
      <c r="R4" s="23" t="inlineStr">
        <is>
          <t>Low</t>
        </is>
      </c>
    </row>
    <row r="5">
      <c r="A5" s="10" t="inlineStr">
        <is>
          <t>Hills Science Diet</t>
        </is>
      </c>
      <c r="B5" s="10" t="inlineStr">
        <is>
          <t>multiple benefit adult</t>
        </is>
      </c>
      <c r="C5" s="10" t="n">
        <v>15.5</v>
      </c>
      <c r="D5" s="10" t="n">
        <v>273</v>
      </c>
      <c r="E5" s="10" t="n">
        <v>30</v>
      </c>
      <c r="F5" s="10" t="inlineStr">
        <is>
          <t>Chicken, Brewers Rice, Corn Gluten Meal, Powdered Cellulose, Whole Grain Wheat, Wheat Gluten, Chicken Fat, Chicken Liver Flavor, Dried Beet Pulp, Soybean Oil, Lactic Acid, Calcium Sulfate, Potassium Chloride, Fish Oil, Choline Chloride, Dicalcium Phosphate, Taurine, Iodized Salt, vitamins (Vitamin E Supplement, L-Ascorbyl-2-Polyphosphate (source of Vitamin C), Niacin Supplement, Thiamine Mononitrate, Vitamin A Supplement, Calcium Pantothenate, Riboflavin Supplement, Biotin, Vitamin B12 Supplement, Pyridoxine Hydrochloride, Folic Acid, Vitamin D3 Supplement), minerals (Ferrous Sulfate, Zinc Oxide, Copper Sulfate, Manganous Oxide, Calcium Iodate, Sodium Selenite), L-Carnitine, Mixed Tocopherols for freshness, Natural Flavors, Beta-Carotene.</t>
        </is>
      </c>
      <c r="G5" s="10" t="inlineStr">
        <is>
          <t>multicat</t>
        </is>
      </c>
      <c r="H5" s="12" t="n"/>
      <c r="J5" s="12" t="n">
        <v>1.5</v>
      </c>
      <c r="K5" s="14" t="inlineStr">
        <is>
          <t>Moderate</t>
        </is>
      </c>
      <c r="L5" s="12" t="n"/>
      <c r="M5" s="12" t="n"/>
      <c r="N5" s="12" t="n"/>
      <c r="O5" s="12" t="n"/>
      <c r="P5" s="20" t="n">
        <v>2</v>
      </c>
      <c r="Q5" s="20" t="n">
        <v>14</v>
      </c>
      <c r="R5" s="23" t="inlineStr">
        <is>
          <t>Low</t>
        </is>
      </c>
    </row>
    <row r="6">
      <c r="A6" s="10" t="inlineStr">
        <is>
          <t>Hills Science Diet</t>
        </is>
      </c>
      <c r="B6" s="10" t="inlineStr">
        <is>
          <t xml:space="preserve">multiple benefit w/d </t>
        </is>
      </c>
      <c r="C6" s="10" t="n">
        <v>17.6</v>
      </c>
      <c r="D6" s="10" t="n">
        <v>280</v>
      </c>
      <c r="E6" s="10" t="n">
        <v>34</v>
      </c>
      <c r="F6" s="10" t="inlineStr">
        <is>
          <t>Brewers Rice, Corn Gluten Meal, Chicken Meal, Wheat Gluten, Powdered Cellulose, Chicken, Whole Grain Corn, Whole Grain Wheat, Pork Flavor, Pork Fat, Lactic Acid, Chicken Liver Flavor, Potassium Chloride, Choline Chloride, Soybean Oil, L-Lysine, Iodized Salt, Calcium Sulfate, DL-Methionine, L-Threonine, vitamins (Vitamin E Supplement, L-Ascorbyl-2-Polyphosphate (source of Vitamin C), Niacin Supplement, Thiamine Mononitrate, Vitamin A Supplement, Calcium Pantothenate, Riboflavin Supplement, Biotin, Vitamin B12 Supplement, Pyridoxine Hydrochloride, Folic Acid, Vitamin D3 Supplement), Taurine, minerals (Ferrous Sulfate, Zinc Oxide, Copper Sulfate, Manganous Oxide, Calcium Iodate, Sodium Selenite), L-Carnitine, Mixed Tocopherols for freshness, Natural Flavors, Beta-Carotene</t>
        </is>
      </c>
      <c r="G6" s="10" t="inlineStr">
        <is>
          <t>keep in mind for latte in the future</t>
        </is>
      </c>
      <c r="H6" s="11" t="inlineStr">
        <is>
          <t>Y</t>
        </is>
      </c>
      <c r="J6" s="11" t="n">
        <v>0</v>
      </c>
      <c r="K6" s="11" t="inlineStr">
        <is>
          <t>Excellent</t>
        </is>
      </c>
      <c r="L6" s="11" t="n"/>
      <c r="M6" s="11" t="inlineStr">
        <is>
          <t>Y</t>
        </is>
      </c>
      <c r="N6" s="11" t="inlineStr">
        <is>
          <t>Y</t>
        </is>
      </c>
      <c r="O6" s="11" t="inlineStr">
        <is>
          <t>Y</t>
        </is>
      </c>
      <c r="P6" s="20" t="n">
        <v>2</v>
      </c>
      <c r="Q6" s="20" t="n">
        <v>35</v>
      </c>
      <c r="R6" s="23" t="inlineStr">
        <is>
          <t>Low</t>
        </is>
      </c>
    </row>
    <row r="7">
      <c r="A7" s="10" t="inlineStr">
        <is>
          <t>royal canin</t>
        </is>
      </c>
      <c r="B7" s="10" t="inlineStr">
        <is>
          <t>appetite control</t>
        </is>
      </c>
      <c r="C7" s="10" t="n">
        <v>14</v>
      </c>
      <c r="D7" s="10" t="n">
        <v>286</v>
      </c>
      <c r="E7" s="10" t="n">
        <v>32</v>
      </c>
      <c r="F7" s="10" t="inlineStr">
        <is>
          <t>Chicken Meal, Pea Fiber, Corn, Wheat, Corn Gluten Meal, Wheat Gluten, Natural Flavors, Chicken Fat, Brewers Rice, Dried Plain Beet Pulp, Vegetable Oil, Sodium Silico Aluminate, Sodium Pyrophosphate, Calcium Sulfate, Fish Oil, Potassium Chloride, Powdered Psyllium Seed Husk, Salt, Choline Chloride, Fructooligosaccharides, Vitamins [Dl-Alpha Tocopherol Acetate (Source Of Vitamin E), L-Ascorbyl-2-Polyphosphate (Source Of Vitamin C), Niacin Supplement, Biotin, Riboflavin Supplement, D-Calcium Pantothenate, Pyridoxine Hydrochloride (Vitamin B6), Vitamin A Acetate, Thiamine Mononitrate (Vitamin B1), Vitamin B12 Supplement, Folic Acid, Vitamin D3 Supplement], Monosodium Phosphate, Taurine, Trace Minerals [Zinc Proteinate, Zinc Oxide, Ferrous Sulfate, Manganese Proteinate, Manganous Oxide, Copper Sulfate, Sodium Selenite, Calcium Iodate, Copper Proteinate], Dl-Methionine, L-Carnitine, Rosemary Extract, Preserved With Mixed Tocopherols And Citric Acid.</t>
        </is>
      </c>
      <c r="H7" s="12" t="n"/>
      <c r="J7" s="12" t="n">
        <v>8</v>
      </c>
      <c r="K7" s="12" t="inlineStr">
        <is>
          <t>Avoid</t>
        </is>
      </c>
      <c r="L7" s="12" t="n"/>
      <c r="M7" s="12" t="n"/>
      <c r="N7" s="12" t="n"/>
      <c r="O7" s="12" t="n"/>
      <c r="P7" s="20" t="n">
        <v>2</v>
      </c>
      <c r="Q7" s="20" t="n">
        <v>58</v>
      </c>
      <c r="R7" s="23" t="inlineStr">
        <is>
          <t>Low</t>
        </is>
      </c>
    </row>
    <row r="8">
      <c r="A8" s="10" t="inlineStr">
        <is>
          <t>Hills Science Diet</t>
        </is>
      </c>
      <c r="B8" s="10" t="inlineStr">
        <is>
          <t>light</t>
        </is>
      </c>
      <c r="C8" s="10" t="n">
        <v>16</v>
      </c>
      <c r="D8" s="10" t="n">
        <v>288</v>
      </c>
      <c r="E8" s="10" t="n">
        <v>31</v>
      </c>
      <c r="F8" s="10" t="inlineStr">
        <is>
          <t>Chicken, Corn Gluten Meal, Whole Grain Wheat, Brewers Rice, Powdered Cellulose, Wheat Gluten, Chicken Fat, Chicken Liver Flavor, Calcium Sulfate, Lactic Acid, Dried Beet Pulp, Potassium Chloride, Dicalcium Phosphate, Choline Chloride, Iodized Salt, L-Lysine, Calcium Carbonate, vitamins (Vitamin E Supplement, L-Ascorbyl-2-Polyphosphate (source of Vitamin C), Niacin Supplement, Thiamine Mononitrate, Vitamin A Supplement, Calcium Pantothenate, Riboflavin Supplement, Biotin, Vitamin B12 Supplement, Pyridoxine Hydrochloride, Folic Acid, Vitamin D3 Supplement), Taurine, minerals (Ferrous Sulfate, Zinc Oxide, Copper Sulfate, Manganous Oxide, Calcium Iodate, Sodium Selenite), L-Carnitine, Mixed Tocopherols for freshness, Natural Flavors, Green Peas, Apples, Cranberries, Carrots, Broccoli, Beta-Carotene.</t>
        </is>
      </c>
      <c r="H8" s="11" t="inlineStr">
        <is>
          <t>Y</t>
        </is>
      </c>
      <c r="J8" s="12" t="n">
        <v>3.5</v>
      </c>
      <c r="K8" s="13" t="inlineStr">
        <is>
          <t>Poor</t>
        </is>
      </c>
      <c r="L8" s="11" t="n"/>
      <c r="M8" s="11" t="inlineStr">
        <is>
          <t>Y</t>
        </is>
      </c>
      <c r="N8" s="12" t="n"/>
      <c r="O8" s="12" t="n"/>
      <c r="P8" s="20" t="n">
        <v>2</v>
      </c>
      <c r="Q8" s="20" t="n">
        <v>12</v>
      </c>
      <c r="R8" s="23" t="inlineStr">
        <is>
          <t>Low</t>
        </is>
      </c>
    </row>
    <row r="9">
      <c r="A9" s="10" t="inlineStr">
        <is>
          <t>Hills Science Diet</t>
        </is>
      </c>
      <c r="B9" s="10" t="inlineStr">
        <is>
          <t>c/d multicare stress urinary + metabolic weight</t>
        </is>
      </c>
      <c r="C9" s="10" t="n">
        <v>6.35</v>
      </c>
      <c r="D9" s="10" t="n">
        <v>289</v>
      </c>
      <c r="E9" s="10" t="n">
        <v>38.2</v>
      </c>
      <c r="F9" s="10" t="inlineStr">
        <is>
          <t>Brewers Rice, Corn Gluten Meal, Powdered Cellulose, Wheat Gluten, Chicken Meal, Dried Tomato Pomace, Chicken Liver Flavor, Soybean Oil, Flaxseed, Coconut Oil, L-Lysine, Fish Oil, Lactic Acid, Potassium Citrate, Potassium Chloride, DL-Methionine, Carrots, Choline Chloride, Taurine, Iodized Salt, L-Tryptophan, vitamins (Vitamin E Supplement, Niacin Supplement, Thiamine Mononitrate, Pyridoxine Hydrochloride, Calcium Pantothenate, Riboflavin Supplement, Biotin, Vitamin B12 Supplement, Vitamin A Supplement, Folic Acid, Vitamin D3 Supplement), Dried Hydrolyzed Casein, L-Carnitine, minerals (Ferrous Sulfate, Zinc Oxide, Copper Sulfate, Manganous Oxide, Calcium Iodate, Sodium Selenite), Calcium Sulfate, Mixed Tocopherols for freshness, Natural Flavors, Beta-Carotene.</t>
        </is>
      </c>
      <c r="H9" s="12" t="n"/>
      <c r="J9" s="11" t="n">
        <v>0</v>
      </c>
      <c r="K9" s="11" t="inlineStr">
        <is>
          <t>Excellent</t>
        </is>
      </c>
      <c r="L9" s="12" t="n"/>
      <c r="M9" s="12" t="n"/>
      <c r="N9" s="11" t="inlineStr">
        <is>
          <t>Y</t>
        </is>
      </c>
      <c r="O9" s="11" t="inlineStr">
        <is>
          <t>Y</t>
        </is>
      </c>
      <c r="P9" s="20" t="n">
        <v>2</v>
      </c>
      <c r="Q9" s="20" t="n">
        <v>27</v>
      </c>
      <c r="R9" s="23" t="inlineStr">
        <is>
          <t>Low</t>
        </is>
      </c>
    </row>
    <row r="10">
      <c r="A10" s="10" t="inlineStr">
        <is>
          <t>7+ royal canin</t>
        </is>
      </c>
      <c r="B10" s="10" t="inlineStr">
        <is>
          <t xml:space="preserve">Adult Renal Support Early Consult </t>
        </is>
      </c>
      <c r="C10" s="10" t="n">
        <v>8.800000000000001</v>
      </c>
      <c r="D10" s="10" t="n">
        <v>299</v>
      </c>
      <c r="E10" s="10" t="n">
        <v>26</v>
      </c>
      <c r="F10" s="10" t="inlineStr">
        <is>
          <t>Corn, Brewers Rice, Wheat Gluten, Corn Gluten Meal, Wheat, Chicken By-Product Meal, Pea Fiber, Chicken Fat, Natural Flavors, Fish Oil, Dried Chicory Root, Vegetable Oil, Dried Tomato Pomace, Calcium Sulfate, Sodium Pyrophosphate, Potassium Chloride, Powdered Psyllium Seed Husk, Calcium Carbonate, Dl-Methionine, L-Lysine, Fructooligosaccharides, Potassium Citrate, New Zealand Green Mussel, Salt, Choline Chloride, Taurine, Vitamins [Dl-Alpha Tocopherol Acetate (Source Of Vitamin E), L-Ascorbyl-2-Polyphosphate (Source Of Vitamin C), Niacin Supplement, Biotin, Riboflavin Supplement, D-Calcium Pantothenate, Pyridoxine Hydrochloride (Vitamin B6), Vitamin A Acetate, Thiamine Mononitrate (Vitamin B1), Vitamin B12 Supplement, Folic Acid, Vitamin D3 Supplement], Hydrolyzed Yeast, L-Tryptophan, Lecithin, Glucosamine Hydrochloride, Trace Minerals [Zinc Proteinate, Zinc Oxide, Ferrous Sulfate, Manganese Proteinate, Manganous Oxide, Copper Sulfate, Calcium Iodate, Sodium Selenite, Copper Proteinate], L-Tyrosine, Marigold Extract (Tagetes Erecta L.), Chondroitin Sulfate, L-Carnitine, Rosemary Extract, Preserved With Mixed Tocopherols And Citric Acid.</t>
        </is>
      </c>
      <c r="G10" s="10" t="inlineStr">
        <is>
          <t>s/o index</t>
        </is>
      </c>
      <c r="H10" s="12" t="n"/>
      <c r="I10" s="14" t="inlineStr">
        <is>
          <t>Y</t>
        </is>
      </c>
      <c r="J10" s="12" t="n">
        <v>12.5</v>
      </c>
      <c r="K10" s="12" t="inlineStr">
        <is>
          <t>Avoid</t>
        </is>
      </c>
      <c r="L10" s="12" t="n"/>
      <c r="M10" s="12" t="n"/>
      <c r="N10" s="12" t="n"/>
      <c r="O10" s="12" t="n"/>
      <c r="P10" s="20" t="n">
        <v>2</v>
      </c>
      <c r="Q10" s="20" t="n">
        <v>6</v>
      </c>
      <c r="R10" s="23" t="inlineStr">
        <is>
          <t>Low</t>
        </is>
      </c>
    </row>
    <row r="11">
      <c r="A11" s="10" t="inlineStr">
        <is>
          <t xml:space="preserve">iams </t>
        </is>
      </c>
      <c r="B11" s="10" t="inlineStr">
        <is>
          <t>ProActive Health Indoor Weight &amp; Hairball Care Adult Dry Cat Food</t>
        </is>
      </c>
      <c r="C11" s="10" t="n">
        <v>22</v>
      </c>
      <c r="D11" s="10" t="n">
        <v>302</v>
      </c>
      <c r="E11" s="10" t="n">
        <v>30</v>
      </c>
      <c r="F11" s="10" t="inlineStr">
        <is>
          <t>Chicken, Chicken By-Product Meal, Corn Grits, Corn Gluten Meal, Ground Whole Grain Corn, Ground Whole Grain Sorghum, Dried Plain Beet Pulp, Turkey, Powdered Cellulose, Natural Flavor, Brewers Dried Yeast, Dried Egg Product, Caramel Color, Potassium Chloride, Sodium Bisulfate, Choline Chloride, Fish Oil (Preserved with Mixed Tocopherols), Calcium Carbonate, Fructooligosaccharides, Vitamins [Vitamin E Supplement, Niacin, Ascorbic Acid, Vitamin A Acetate, Calcium Pantothenate, Biotin, Thiamine Mononitrate (Source of Vitamin B1), Pyridoxine Hydrochloride (Source of Vitamin B6), Vitamin B12 Supplement, Riboflavin Supplement (Source of Vitamin B2), Vitamin D3 Supplement, Folic Acid], Taurine, Minerals [Zinc Oxide, Manganese Sulfate, Copper Sulfate, Potassium Iodide], Mixed Tocopherols and Citric Acid (Preservatives), L-Carnitine, Rosemary Extract.</t>
        </is>
      </c>
      <c r="H11" s="12" t="n"/>
      <c r="J11" s="12" t="n">
        <v>6.5</v>
      </c>
      <c r="K11" s="12" t="inlineStr">
        <is>
          <t>Avoid</t>
        </is>
      </c>
      <c r="L11" s="12" t="n"/>
      <c r="M11" s="12" t="n"/>
      <c r="N11" s="12" t="n"/>
      <c r="O11" s="12" t="n"/>
      <c r="P11" s="20" t="n">
        <v>1</v>
      </c>
      <c r="Q11" s="20" t="n">
        <v>40</v>
      </c>
      <c r="R11" s="23" t="inlineStr">
        <is>
          <t>Low</t>
        </is>
      </c>
    </row>
    <row r="12">
      <c r="A12" s="10" t="inlineStr">
        <is>
          <t>7+ royal canin</t>
        </is>
      </c>
      <c r="B12" s="10" t="inlineStr">
        <is>
          <t>indoor</t>
        </is>
      </c>
      <c r="C12" s="10" t="n">
        <v>5.5</v>
      </c>
      <c r="D12" s="10" t="n">
        <v>308</v>
      </c>
      <c r="E12" s="10" t="n">
        <v>27</v>
      </c>
      <c r="F12" s="16" t="inlineStr">
        <is>
          <t>Corn, Barley, Wheat, Chicken Meal, Corn Gluten Meal, Soy Protein Isolate, Natural Flavors, Chicken Fat, Wheat Gluten, Brewers Rice, Dried Plain Beet Pulp, Vegetable Oil, Pea Fiber, Fish Oil, Calcium Sulfate, Rice Hulls, Grain Distillers Dried Yeast, Potassium Chloride, Egg Product, Psyllium Seed Husk, Sodium Silico Aluminate, Sodium Bisulfate, Sodium Pyrophosphate, Fructooligosaccharides, Choline Chloride, Calcium Carbonate, Vitamins [DL-Alpha Tocopherol Acetate (Source Of Vitamin E), L-Ascorbyl-2-Polyphosphate (Source Of Vitamin C), Niacin Supplement, Biotin, Riboflavin Supplement, D-Calcium Pantothenate, Pyridoxine Hydrochloride (Vitamin B6), Vitamin A Acetate, Thiamine Mononitrate (Vitamin B1), Vitamin B12 Supplement, Folic Acid, Vitamin D3 Supplement], Taurine, DL-Methionine, Potassium Citrate, Salt, Trace Minerals [Zinc Proteinate, Zinc Oxide, Ferrous Sulfate, Manganese Proteinate, Manganous Oxide, Copper Sulfate, Calcium Iodate, Copper Proteinate, Sodium Selenite], Glucosamine Hydrochloride, Marigold Extract (Tagetes Erecta L.), Green Tea Extract, L-Carnitine, Chondroitin Sulfate, Rosemary Extract, Preserved With Mixed Tocopherols And Citric Acid.</t>
        </is>
      </c>
      <c r="G12" s="10" t="inlineStr">
        <is>
          <t>renal, dental, gi. Says to pair with intense beauty wet food?</t>
        </is>
      </c>
      <c r="H12" s="12" t="n"/>
      <c r="J12" s="12" t="n">
        <v>8</v>
      </c>
      <c r="K12" s="12" t="inlineStr">
        <is>
          <t>Avoid</t>
        </is>
      </c>
      <c r="L12" s="12" t="n"/>
      <c r="M12" s="12" t="n"/>
      <c r="N12" s="12" t="n"/>
      <c r="O12" s="12" t="n"/>
      <c r="P12" s="20" t="n">
        <v>3</v>
      </c>
      <c r="Q12" s="20" t="n">
        <v>32</v>
      </c>
      <c r="R12" s="23" t="inlineStr">
        <is>
          <t>Low</t>
        </is>
      </c>
    </row>
    <row r="13">
      <c r="A13" s="10" t="inlineStr">
        <is>
          <t>Hills Science Diet</t>
        </is>
      </c>
      <c r="B13" s="10" t="inlineStr">
        <is>
          <t>Perfect weight</t>
        </is>
      </c>
      <c r="C13" s="10" t="n">
        <v>15</v>
      </c>
      <c r="D13" s="10" t="n">
        <v>315</v>
      </c>
      <c r="E13" s="10" t="n">
        <v>35.5</v>
      </c>
      <c r="F13" s="10" t="inlineStr">
        <is>
          <t>Chicken, Brewers Rice, Corn Gluten Meal, Wheat Gluten, Powdered Cellulose, Chicken Meal, Dried Tomato Pomace, Dried Beet Pulp, Flaxseed, Chicken Fat, Chicken Liver Flavor, Coconut Oil, Lactic Acid, Calcium Sulfate, Potassium Chloride, L-Lysine, Choline Chloride, Carrots, DL-Methionine, Taurine, Iodized Salt, vitamins (Vitamin E Supplement, L-Ascorbyl-2-Polyphosphate (source of Vitamin C), Niacin Supplement, Thiamine Mononitrate, Vitamin A Supplement, Calcium Pantothenate, Riboflavin Supplement, Biotin, Vitamin B12 Supplement, Pyridoxine Hydrochloride, Folic Acid, Vitamin D3 Supplement), Dicalcium Phosphate, minerals (Manganese Sulfate, Ferrous Sulfate, Zinc Oxide, Copper Sulfate, Calcium Iodate, Sodium Selenite), L-Carnitine, Mixed Tocopherols for freshness, Natural Flavors, Beta-Carotene.</t>
        </is>
      </c>
      <c r="H13" s="11" t="inlineStr">
        <is>
          <t>Y</t>
        </is>
      </c>
      <c r="J13" s="12" t="n">
        <v>1.5</v>
      </c>
      <c r="K13" s="14" t="inlineStr">
        <is>
          <t>Moderate</t>
        </is>
      </c>
      <c r="L13" s="11" t="n"/>
      <c r="M13" s="11" t="inlineStr">
        <is>
          <t>Y</t>
        </is>
      </c>
      <c r="N13" s="11" t="inlineStr">
        <is>
          <t>Y</t>
        </is>
      </c>
      <c r="O13" s="11" t="inlineStr">
        <is>
          <t>Y</t>
        </is>
      </c>
      <c r="P13" s="20" t="n">
        <v>2</v>
      </c>
      <c r="Q13" s="20" t="n">
        <v>32</v>
      </c>
      <c r="R13" s="23" t="inlineStr">
        <is>
          <t>Low</t>
        </is>
      </c>
    </row>
    <row r="14">
      <c r="A14" s="10" t="inlineStr">
        <is>
          <t>royal canin</t>
        </is>
      </c>
      <c r="B14" s="10" t="inlineStr">
        <is>
          <t>urinary SO</t>
        </is>
      </c>
      <c r="C14" s="10" t="n">
        <v>17.6</v>
      </c>
      <c r="D14" s="10" t="n">
        <v>315</v>
      </c>
      <c r="E14" s="10" t="n">
        <v>32.5</v>
      </c>
      <c r="F14" s="10" t="inlineStr">
        <is>
          <t>Chicken By-Product Meal, Brewers Rice, Corn, Corn Gluten Meal, Chicken Fat, Wheat Gluten, Natural Flavors, Wheat, Salt, Powdered Cellulose, Fish Oil, Potassium Chloride, Sodium Bisulfate, Calcium Sulfate, Sodium Pyrophosphate, Vegetable Oil, Fructooligosaccharides, Choline Chloride, Vitamins [Dl-Alpha Tocopherol Acetate (Source Of Vitamin E), Niacin Supplement, Biotin, Riboflavin Supplement, D-Calcium Pantothenate, Pyridoxine Hydrochloride (Vitamin B6), Vitamin A Acetate, Thiamine Mononitrate (Vitamin B1), Vitamin B12 Supplement, Folic Acid, Vitamin D3 Supplement], Dl-Methionine, Taurine, Monocalcium Phosphate, Trace Minerals [Zinc Proteinate, Zinc Oxide, Manganese Proteinate, Ferrous Sulfate, Manganous Oxide, Copper Sulfate, Calcium Iodate, Sodium Selenite, Copper Proteinate], Marigold Extract (Tagetes Erecta L.), Rosemary Extract, Preserved With Mixed Tocopherols And Citric Acid.</t>
        </is>
      </c>
      <c r="H14" s="12" t="n"/>
      <c r="J14" s="12" t="n">
        <v>5</v>
      </c>
      <c r="K14" s="13" t="inlineStr">
        <is>
          <t>Poor</t>
        </is>
      </c>
      <c r="L14" s="12" t="n"/>
      <c r="M14" s="12" t="n"/>
      <c r="N14" s="12" t="n"/>
      <c r="O14" s="12" t="n"/>
      <c r="P14" s="20" t="n">
        <v>2</v>
      </c>
      <c r="Q14" s="20" t="n">
        <v>13</v>
      </c>
      <c r="R14" s="23" t="inlineStr">
        <is>
          <t>Low</t>
        </is>
      </c>
    </row>
    <row r="15">
      <c r="A15" s="10" t="inlineStr">
        <is>
          <t>7+ Hills Science Diet</t>
        </is>
      </c>
      <c r="B15" s="10" t="inlineStr">
        <is>
          <t>indoor</t>
        </is>
      </c>
      <c r="C15" s="10" t="n">
        <v>15.5</v>
      </c>
      <c r="D15" s="10" t="n">
        <v>316</v>
      </c>
      <c r="E15" s="10" t="n">
        <v>28</v>
      </c>
      <c r="F15" s="10" t="inlineStr">
        <is>
          <t>Chicken, Whole Grain Wheat, Corn Gluten Meal, Chicken Fat, Powdered Cellulose, Wheat Gluten, Brewers Rice, Dried Beet Pulp, Pork Flavor, Calcium Sulfate, Lactic Acid, Potassium Chloride, Soybean Oil, Fish Oil, Dicalcium Phosphate, Choline Chloride, Taurine, vitamins (Vitamin E Supplement, L-Ascorbyl-2-Polyphosphate (source of Vitamin C), Niacin Supplement, Thiamine Mononitrate, Vitamin A Supplement, Calcium Pantothenate, Riboflavin Supplement, Biotin, Vitamin B12 Supplement, Pyridoxine Hydrochloride, Folic Acid, Vitamin D3 Supplement), Calcium Carbonate, Iodized Salt, minerals (Ferrous Sulfate, Zinc Oxide, Copper Sulfate, Manganous Oxide, Calcium Iodate, Sodium Selenite), L-Carnitine, Oat Fiber, Mixed Tocopherols for freshness, Natural Flavors, Beta-Carotene, Apples, Broccoli, Carrots, Cranberries, Green Peas.</t>
        </is>
      </c>
      <c r="H15" s="12" t="n"/>
      <c r="J15" s="12" t="n">
        <v>3.5</v>
      </c>
      <c r="K15" s="13" t="inlineStr">
        <is>
          <t>Poor</t>
        </is>
      </c>
      <c r="L15" s="12" t="n"/>
      <c r="M15" s="12" t="n"/>
      <c r="N15" s="12" t="n"/>
      <c r="O15" s="12" t="n"/>
      <c r="P15" s="20" t="n">
        <v>2</v>
      </c>
      <c r="Q15" s="20" t="n">
        <v>14</v>
      </c>
      <c r="R15" s="23" t="inlineStr">
        <is>
          <t>Low</t>
        </is>
      </c>
    </row>
    <row r="16">
      <c r="A16" s="10" t="inlineStr">
        <is>
          <t>royal canin</t>
        </is>
      </c>
      <c r="B16" s="10" t="inlineStr">
        <is>
          <t>urinary</t>
        </is>
      </c>
      <c r="C16" s="10" t="n">
        <v>14</v>
      </c>
      <c r="D16" s="10" t="n">
        <v>317</v>
      </c>
      <c r="E16" s="10" t="n">
        <v>31</v>
      </c>
      <c r="F16" s="10" t="inlineStr">
        <is>
          <t>Corn, Wheat Gluten, Chicken Meal, Brewers Rice, Corn Gluten Meal, Wheat, Chicken Fat, Natural Flavors, Rice Hulls, Pea Fiber, Dried Plain Beet Pulp, Calcium Sulfate, Grain Distillers Dried Yeast, Egg Product, Vegetable Oil, Fish Oil, Sodium Bisulfate, Potassium Chloride, Salt, Sodium Pyrophosphate, Dl-Methionine, Choline Chloride, Taurine, Vitamins [Dl-Alpha Tocopherol Acetate (Source Of Vitamin E), L-Ascorbyl-2-Polyphosphate (Source Of Vitamin C), Niacin Supplement, Biotin, Riboflavin Supplement, D-Calcium Pantothenate, Pyridoxine Hydrochloride (Vitamin B6), Vitamin A Acetate, Thiamine Mononitrate (Vitamin B1), Vitamin B12 Supplement, Folic Acid, Vitamin D3 Supplement], Trace Minerals [Zinc Proteinate, Zinc Oxide, Ferrous Sulfate, Manganese Proteinate, Manganous Oxide, Copper Sulfate, Calcium Iodate, Copper Proteinate, Sodium Selenite], Marigold Extract (Tagetes Erecta L.), Rosemary Extract, Preserved With Mixed Tocopherols And Citric Acid.</t>
        </is>
      </c>
      <c r="H16" s="12" t="n"/>
      <c r="J16" s="12" t="n">
        <v>3</v>
      </c>
      <c r="K16" s="14" t="inlineStr">
        <is>
          <t>Moderate</t>
        </is>
      </c>
      <c r="L16" s="12" t="n"/>
      <c r="M16" s="12" t="n"/>
      <c r="N16" s="12" t="n"/>
      <c r="O16" s="12" t="n"/>
      <c r="P16" s="20" t="n">
        <v>2</v>
      </c>
      <c r="Q16" s="20" t="n">
        <v>35</v>
      </c>
      <c r="R16" s="23" t="inlineStr">
        <is>
          <t>Low</t>
        </is>
      </c>
    </row>
    <row r="17">
      <c r="A17" s="10" t="inlineStr">
        <is>
          <t>N&amp;D Farmina</t>
        </is>
      </c>
      <c r="B17" s="10" t="inlineStr">
        <is>
          <t>N&amp;D Quinoa WEIGHT MANAGEMENT (lamb)</t>
        </is>
      </c>
      <c r="C17" s="10" t="n">
        <v>11</v>
      </c>
      <c r="D17" s="10" t="n">
        <v>318</v>
      </c>
      <c r="E17" s="10" t="n">
        <v>40</v>
      </c>
      <c r="F17" s="10" t="inlineStr">
        <is>
          <t>lamb, dehydrated lamb, pea starch, dried whole eggs, pea fiber, chicken fat, quinoa seed, herring, dehydrated herring, herring oil, linseed, dried broccoli, dried asparagus, dried carrot, suncured alfalfa meal, inulin, fructooligosaccharide, yeast extract, psyllium seed husk, salt, brewers dried yeast, aloe vera gel concentrate, green tea extract, rosemary extract, mixed tocopherols.</t>
        </is>
      </c>
      <c r="G17" s="10" t="inlineStr">
        <is>
          <t>Tried - Mocha | lamb, dehydrated lamb, pea starch, dried whole eggs, pea fiber, chicken fat, quinoa seed, herring, dehydrated herring, herring oil, linseed, dried broccoli, dried asparagus, dried carrot, suncured alfalfa meal, inulin, fructooligosaccharide, yeast extract, psyllium seed husk, potassium chloride, salt, calcium sulfate dihydrate, brewers dried yeast, vitamin A supplement, vitamin D3 supplement, vitamin E supplement, ascorbic acid, niacin, calcium pantothenate, riboflavin, pyridoxine hydrochloride, thiamine hydrochloride, biotin, folic acid, vitamin B12 supplement, choline chloride, beta-carotene, zinc methionine hydroxy analogue chelate, manganese methionine hydroxy analogue chelate, ferrous glycine, copper methionine hydroxy analogue chelate, DL-Methionine, taurine, aloe vera gel concentrate, green tea extract, rosemary extract, mixed tocopherols (a preservative).</t>
        </is>
      </c>
      <c r="H17" s="12" t="n"/>
      <c r="J17" s="12" t="n">
        <v>12.5</v>
      </c>
      <c r="K17" s="12" t="inlineStr">
        <is>
          <t>Avoid</t>
        </is>
      </c>
      <c r="L17" s="12" t="n"/>
      <c r="M17" s="12" t="n"/>
      <c r="N17" s="12" t="n"/>
      <c r="O17" s="11" t="inlineStr">
        <is>
          <t>Y</t>
        </is>
      </c>
      <c r="P17" s="20" t="n">
        <v>0</v>
      </c>
      <c r="Q17" s="20" t="n">
        <v>67</v>
      </c>
      <c r="R17" s="22" t="inlineStr">
        <is>
          <t>Mod</t>
        </is>
      </c>
    </row>
    <row r="18">
      <c r="A18" s="10" t="inlineStr">
        <is>
          <t>Hills Science Diet</t>
        </is>
      </c>
      <c r="B18" s="10" t="inlineStr">
        <is>
          <t>Indoor adult</t>
        </is>
      </c>
      <c r="C18" s="10" t="n">
        <v>15.5</v>
      </c>
      <c r="D18" s="10" t="n">
        <v>319</v>
      </c>
      <c r="E18" s="10" t="n">
        <v>31</v>
      </c>
      <c r="F18" s="10" t="inlineStr">
        <is>
          <t>Chicken, Whole Grain Wheat, Corn Gluten Meal, Powdered Cellulose, Chicken Fat, Wheat Gluten, Chicken Meal, Chicken Liver Flavor, Dried Beet Pulp, Soybean Oil, Calcium Sulfate, Lactic Acid, Fish Oil, Potassium Chloride, Iodized Salt, Choline Chloride, vitamins (Vitamin E Supplement, L-Ascorbyl-2-Polyphosphate (source of Vitamin C), Niacin Supplement, Thiamine Mononitrate, Vitamin A Supplement, Calcium Pantothenate, Riboflavin Supplement, Biotin, Vitamin B12 Supplement, Pyridoxine Hydrochloride, Folic Acid, Vitamin D3 Supplement), Taurine, L-Carnitine, L-Lysine, minerals (Ferrous Sulfate, Zinc Oxide, Copper Sulfate, Manganous Oxide, Calcium Iodate, Sodium Selenite), Mixed Tocopherols for freshness, Natural Flavors, Green Peas, Apples, Cranberries, Carrots, Broccoli, Beta-Carotene.</t>
        </is>
      </c>
      <c r="H18" s="12" t="n"/>
      <c r="J18" s="12" t="n">
        <v>3.5</v>
      </c>
      <c r="K18" s="13" t="inlineStr">
        <is>
          <t>Poor</t>
        </is>
      </c>
      <c r="L18" s="12" t="n"/>
      <c r="M18" s="12" t="n"/>
      <c r="N18" s="12" t="n"/>
      <c r="O18" s="12" t="n"/>
      <c r="P18" s="20" t="n">
        <v>2</v>
      </c>
      <c r="Q18" s="20" t="n">
        <v>33</v>
      </c>
      <c r="R18" s="23" t="inlineStr">
        <is>
          <t>Low</t>
        </is>
      </c>
    </row>
    <row r="19">
      <c r="A19" s="10" t="inlineStr">
        <is>
          <t>royal canin</t>
        </is>
      </c>
      <c r="B19" s="10" t="inlineStr">
        <is>
          <t>indoor</t>
        </is>
      </c>
      <c r="C19" s="10" t="n">
        <v>15</v>
      </c>
      <c r="D19" s="10" t="n">
        <v>325</v>
      </c>
      <c r="E19" s="10" t="n">
        <v>27</v>
      </c>
      <c r="F19" s="16" t="inlineStr">
        <is>
          <t>Chicken Meal, Corn, Brewers Rice, Corn Gluten Meal, Wheat, Chicken Fat, Wheat Gluten, Natural Flavors, Brown Rice, Pea Fiber, Rice Hulls, Dried Plain Beet Pulp, Vegetable Oil, Calcium Sulfate, Grain Distillers Dried Yeast, Sodium Silico Aluminate, Fish Oil, Potassium Chloride, Fructooligosaccharides, Sodium Pyrophosphate, Psyllium Seed Husk, Salt, Dl-Methionine, Choline Chloride, Egg Product, Calcium Carbonate, Vitamins [Dl-Alpha Tocopherol Acetate (Source Of Vitamin E), L-Ascorbyl-2-Polyphosphate (Source Of Vitamin C), Niacin Supplement, Biotin, Riboflavin Supplement, D-Calcium Pantothenate, Thiamine Mononitrate (Vitamin B1), Pyridoxine Hydrochloride (Vitamin B6), Vitamin A Acetate, Vitamin B12 Supplement, Folic Acid, Vitamin D3 Supplement], Taurine, Trace Minerals [Zinc Oxide, Zinc Proteinate, Ferrous Sulfate, Manganous Oxide, Manganese Proteinate, Copper Sulfate, Calcium Iodate, Sodium Selenite, Copper Proteinate], L-Carnitine, Rosemary Extract, Preserved With Mixed Tocopherols And Citric Acid.</t>
        </is>
      </c>
      <c r="G19" s="10" t="inlineStr">
        <is>
          <t>dental, calorie control, fiber for hairball control</t>
        </is>
      </c>
      <c r="H19" s="12" t="n"/>
      <c r="J19" s="12" t="n">
        <v>8</v>
      </c>
      <c r="K19" s="12" t="inlineStr">
        <is>
          <t>Avoid</t>
        </is>
      </c>
      <c r="L19" s="12" t="n"/>
      <c r="M19" s="12" t="n"/>
      <c r="N19" s="12" t="n"/>
      <c r="O19" s="12" t="n"/>
      <c r="P19" s="20" t="n">
        <v>2</v>
      </c>
      <c r="Q19" s="20" t="n">
        <v>56</v>
      </c>
      <c r="R19" s="23" t="inlineStr">
        <is>
          <t>Low</t>
        </is>
      </c>
    </row>
    <row r="20">
      <c r="A20" s="10" t="inlineStr">
        <is>
          <t>Hills Science Diet</t>
        </is>
      </c>
      <c r="B20" s="10" t="inlineStr">
        <is>
          <t>urinary hairball</t>
        </is>
      </c>
      <c r="C20" s="10" t="n">
        <v>15.5</v>
      </c>
      <c r="D20" s="10" t="n">
        <v>327</v>
      </c>
      <c r="E20" s="10" t="n">
        <v>29.5</v>
      </c>
      <c r="F20" s="10" t="inlineStr">
        <is>
          <t>Chicken, Whole Grain Wheat, Corn Gluten Meal, Pork Fat, Powdered Cellulose, Wheat Gluten, Chicken Liver Flavor, Dried Beet Pulp, Soybean Oil, Lactic Acid, Calcium Sulfate, Fish Oil, Choline Chloride, Potassium Chloride, L-Lysine, Iodized Salt, Dicalcium Phosphate, Taurine, vitamins (Vitamin E Supplement, L-Ascorbyl-2-Polyphosphate (source of Vitamin C), Niacin Supplement, Thiamine Mononitrate, Vitamin A Supplement, Calcium Pantothenate, Riboflavin Supplement, Biotin, Vitamin B12 Supplement, Pyridoxine Hydrochloride, Folic Acid, Vitamin D3 Supplement), Potassium Citrate, minerals (Ferrous Sulfate, Zinc Oxide, Copper Sulfate, Manganous Oxide, Calcium Iodate, Sodium Selenite), L-Carnitine, Mixed Tocopherols for freshness, Natural Flavors, Green Peas, Apples, Cranberries, Carrots, Broccoli, Beta-Carotene</t>
        </is>
      </c>
      <c r="H20" s="12" t="n"/>
      <c r="J20" s="12" t="n">
        <v>3.5</v>
      </c>
      <c r="K20" s="13" t="inlineStr">
        <is>
          <t>Poor</t>
        </is>
      </c>
      <c r="L20" s="12" t="n"/>
      <c r="M20" s="12" t="n"/>
      <c r="N20" s="12" t="n"/>
      <c r="O20" s="12" t="n"/>
      <c r="P20" s="20" t="n">
        <v>2</v>
      </c>
      <c r="Q20" s="20" t="n">
        <v>15</v>
      </c>
      <c r="R20" s="23" t="inlineStr">
        <is>
          <t>Low</t>
        </is>
      </c>
    </row>
    <row r="21">
      <c r="A21" s="10" t="inlineStr">
        <is>
          <t>Purina Beyond</t>
        </is>
      </c>
      <c r="B21" s="10" t="inlineStr">
        <is>
          <t>Indoor salmon, egg, sweet potato - grain free</t>
        </is>
      </c>
      <c r="C21" s="10" t="n">
        <v>11</v>
      </c>
      <c r="D21" s="10" t="n">
        <v>329</v>
      </c>
      <c r="E21" s="10" t="n">
        <v>33</v>
      </c>
      <c r="F21" s="10" t="inlineStr">
        <is>
          <t>Salmon, Pea Starch, Chicken Meal, Pea Protein, Canola Meal, Cassava Root Flour, Dried Egg Product, Powdered Cellulose, Dried Yeast, Dried Sweet Potatoes, Pea Fiber, Beef Fat, Whole Cranberries, Salt, Dried Bacillus Coagulans Fermentation Product.</t>
        </is>
      </c>
      <c r="G21" s="10" t="inlineStr">
        <is>
          <t>Tried - Mocha | Salmon, Pea Starch, Chicken Meal, Pea Protein, Canola Meal, Cassava Root Flour, Dried Egg Product, Powdered Cellulose, Dried Yeast, Dried Sweet Potatoes, Pea Fiber, Beef Fat Preserved With Mixed-Tocopherols, Natural Flavor, Phosphoric Acid, Calcium Carbonate, Sodium Bisulfate, Potassium Chloride, Whole Cranberries, Salt, Taurine, DL-Methionine, Choline Chloride, MINERALS [Zinc Sulfate, Ferrous Sulfate, Manganese Sulfate, Copper Sulfate, Calcium Iodate, Sodium Selenite], VITAMINS [Vitamin E Supplement, Niacin (Vitamin B-3), Vitamin A Supplement, Calcium Pantothenate (Vitamin B-5), Thiamine Mononitrate (Vitamin B-1), Vitamin B-12 Supplement, Riboflavin Supplement (Vitamin B-2), Pyridoxine Hydrochloride (Vitamin B-6), Folic Acid (Vitamin B-9), Menadione Sodium Bisulfite Complex (Vitamin K), Vitamin D-3 Supplement, Biotin (Vitamin B-7)], L-Lysine Monohydrochloride, Vitamin E Supplement, Dried Bacillus Coagulans Fermentation Product. C424319Salmon, Pea Starch, Chicken Meal, Pea Protein, Canola Meal, Cassava Root Flour, Dried Egg Product, Powdered Cellulose, Dried Yeast, Dried Sweet Potatoes, Pea Fiber, Beef Fat Preserved With Mixed-Tocopherols, Natural Flavor, Phosphoric Acid, Calcium Carbonate, Sodium Bisulfate, Potassium Chloride, Whole Cranberries, Salt, Taurine, DL-Methionine, Choline Chloride, MINERALS [Zinc Sulfate, Ferrous Sulfate, Manganese Sulfate, Copper Sulfate, Calcium Iodate, Sodium Selenite], VITAMINS [Vitamin E Supplement, Niacin (Vitamin B-3), Vitamin A Supplement, Calcium Pantothenate (Vitamin B-5), Thiamine Mononitrate (Vitamin B-1), Vitamin B-12 Supplement, Riboflavin Supplement (Vitamin B-2), Pyridoxine Hydrochloride (Vitamin B-6), Folic Acid (Vitamin B-9), Menadione Sodium Bisulfite Complex (Vitamin K), Vitamin D-3 Supplement, Biotin (Vitamin B-7)], L-Lysine Monohydrochloride, Vitamin E Supplement, Dried Bacillus Coagulans Fermentation Product.</t>
        </is>
      </c>
      <c r="H21" s="12" t="n"/>
      <c r="J21" s="12" t="n">
        <v>2</v>
      </c>
      <c r="K21" s="14" t="inlineStr">
        <is>
          <t>Moderate</t>
        </is>
      </c>
      <c r="L21" s="14" t="inlineStr">
        <is>
          <t>Y</t>
        </is>
      </c>
      <c r="M21" s="12" t="n"/>
      <c r="N21" s="11" t="inlineStr">
        <is>
          <t>Y</t>
        </is>
      </c>
      <c r="O21" s="12" t="n"/>
      <c r="P21" s="20" t="n">
        <v>1</v>
      </c>
      <c r="Q21" s="20" t="n">
        <v>56</v>
      </c>
      <c r="R21" s="23" t="inlineStr">
        <is>
          <t>Low</t>
        </is>
      </c>
    </row>
    <row r="22">
      <c r="A22" s="10" t="inlineStr">
        <is>
          <t>royal canin</t>
        </is>
      </c>
      <c r="B22" s="10" t="inlineStr">
        <is>
          <t>Calm</t>
        </is>
      </c>
      <c r="C22" s="10" t="n">
        <v>8.800000000000001</v>
      </c>
      <c r="D22" s="10" t="n">
        <v>331</v>
      </c>
      <c r="E22" s="10" t="n">
        <v>34</v>
      </c>
      <c r="F22" s="10" t="inlineStr">
        <is>
          <t>Chicken By-Product Meal, Corn, Brewers Rice, Corn Gluten Meal, Wheat, Wheat Gluten, Natural Flavors, Dried Plain Beet Pulp, Chicken Fat, Pea Fiber, Powdered Cellulose, Calcium Sulfate, Fish Oil, Salt, Potassium Chloride, Dl-Methionine, Sodium Pyrophosphate, Vegetable Oil, Powdered Psyllium Seed Husk, Fructooligosaccharides, Monocalcium Phosphate, Vitamins[Dl-Alpha Tocopherol Acetate (Source Of Vitamin E), Niacin Supplement, L-Ascorbyl-2-Polyphosphate (Source Of Vitamin C), D-Calcium Pantothenate, Biotin, Pyridoxine Hydrochloride (Vitamin B6), Riboflavin Supplement, Thiamine Mononitrate (Vitamin B1), Vitamin A Acetate, Vitamin B12 Supplement, Folic Acid, Vitamin D3 Supplement], Choline Chloride, L-Lysine, Taurine, Dried Hydrolyzed Casein, Trace Minerals[Zinc Proteinate, Manganese Proteinate, Zinc Oxide, Ferrous Sulfate, Manganous Oxide, Copper Sulfate, Sodium Selenite, Calcium Iodate, Copper Proteinate], L-Tryptophan, Gla Safflower Oil, Marigold Extract (Tagetes Erecta L.), L-Carnitine, Rosemary Extract, Preserved With Mixed Tocopherols And Citric Acid.</t>
        </is>
      </c>
      <c r="G22" s="10" t="inlineStr">
        <is>
          <t>s/o index and hydrolyzed milk protein, hairball</t>
        </is>
      </c>
      <c r="H22" s="12" t="n"/>
      <c r="J22" s="12" t="n">
        <v>8</v>
      </c>
      <c r="K22" s="12" t="inlineStr">
        <is>
          <t>Avoid</t>
        </is>
      </c>
      <c r="L22" s="12" t="n"/>
      <c r="M22" s="12" t="n"/>
      <c r="N22" s="12" t="n"/>
      <c r="O22" s="11" t="inlineStr">
        <is>
          <t>Y</t>
        </is>
      </c>
      <c r="P22" s="20" t="n">
        <v>2</v>
      </c>
      <c r="Q22" s="20" t="n">
        <v>13</v>
      </c>
      <c r="R22" s="23" t="inlineStr">
        <is>
          <t>Low</t>
        </is>
      </c>
    </row>
    <row r="23">
      <c r="A23" s="10" t="inlineStr">
        <is>
          <t>royal canin</t>
        </is>
      </c>
      <c r="B23" s="10" t="inlineStr">
        <is>
          <t>ultamino</t>
        </is>
      </c>
      <c r="C23" s="10" t="n">
        <v>5.5</v>
      </c>
      <c r="D23" s="10" t="n">
        <v>335</v>
      </c>
      <c r="E23" s="10" t="n">
        <v>22.6</v>
      </c>
      <c r="F23" s="10" t="inlineStr">
        <is>
          <t>Corn Starch, Hydrolyzed Poultry By-Products Aggregate, Coconut Oil, Vegetable Oil, Powdered Cellulose, Dried Chicory Root, Natural Flavors, Calcium Sulfate, Fish Oil, Sodium Aluminosilicate, Potassium Chloride, Fructooligosaccharides, Sodium Pyrophosphate, Monocalcium Phosphate, Choline Chloride, Dl-Methionine, L-Lysine, L-Tyrosine, Vitamins[Dl-Alpha Tocopherol Acetate (Source Of Vitamin E), L-Ascorbyl-2-Polyphosphate (Source Of Vitamin C), Niacin Supplement, Vitamin B12 Supplement, D-Calcium Pantothenate, Biotin, Pyridoxine Hydrochloride (Vitamin B6), Riboflavin Supplement, Thiamine Mononitrate (Vitamin B1), Vitamin A Acetate, Folic Acid, Vitamin D3 Supplement], Taurine, L-Tryptophan, L-Alanine, Histidine, Salt, Trace Minerals[Zinc Proteinate, Ferrous Sulfate, Zinc Oxide, Manganese Proteinate, Manganous Oxide, Copper Sulfate, Sodium Selenite, Copper Proteinate], Marigold Extract (Tagetes Erecta L.), Rosemary Extract, Preserved With Mixed Tocopherols And Citric Acid, Glycine, Magnesium Oxide, Potassium Iodate.</t>
        </is>
      </c>
      <c r="H23" s="12" t="n"/>
      <c r="J23" s="12" t="n">
        <v>10</v>
      </c>
      <c r="K23" s="12" t="inlineStr">
        <is>
          <t>Avoid</t>
        </is>
      </c>
      <c r="L23" s="12" t="n"/>
      <c r="M23" s="12" t="n"/>
      <c r="N23" s="12" t="n"/>
      <c r="O23" s="12" t="n"/>
      <c r="P23" s="20" t="n">
        <v>0</v>
      </c>
      <c r="Q23" s="20" t="inlineStr"/>
      <c r="R23" s="24" t="inlineStr">
        <is>
          <t>?</t>
        </is>
      </c>
    </row>
    <row r="24">
      <c r="A24" s="10" t="inlineStr">
        <is>
          <t>Royal Canin Feline Health Nutrition Savor Selective Adult Dry Cat Food</t>
        </is>
      </c>
      <c r="D24" s="10" t="n">
        <v>339</v>
      </c>
      <c r="E24" s="10" t="n">
        <v>31</v>
      </c>
      <c r="F24" s="10" t="inlineStr">
        <is>
          <t>Corn, Brewers Rice, Chicken Meal, Chicken Fat, Wheat Gluten, Soy Protein Isolate, Natural Flavors, Corn Gluten Meal, Rice Hulls, Dried Plain Beet Pulp, Calcium Sulfate, Grain Distillers Dried Yeast, Vegetable Oil, Potassium Chloride, Sodium Silico Aluminate, Sodium Bisulfate, Sodium Pyrophosphate, Fructooligosaccharides, Choline Chloride, Vitamins [DL-Alpha Tocopherol Acetate (Source Of Vitamin E), L-Ascorbyl-2-Polyphosphate (Source Of Vitamin C), Niacin Supplement, Biotin, Riboflavin Supplement, D-Calcium Pantothenate, Thiamine Mononitrate (Vitamin B1), Pyridoxine Hydrochloride (Vitamin B6), Vitamin A Acetate, Vitamin B12 Supplement, Folic Acid, Vitamin D3 Supplement], Monocalcium Phosphate, Taurine, DL-Methionine, Trace Minerals [Zinc Oxide, Ferrous Sulfate, Manganous Oxide, Copper Sulfate, Calcium Iodate, Sodium Selenite], Rosemary Extract, Preserved With Mixed Tocopherols And Citric Acid.</t>
        </is>
      </c>
      <c r="H24" s="11" t="inlineStr">
        <is>
          <t>Y</t>
        </is>
      </c>
      <c r="J24" s="12" t="n">
        <v>6.5</v>
      </c>
      <c r="K24" s="12" t="inlineStr">
        <is>
          <t>Avoid</t>
        </is>
      </c>
      <c r="L24" s="12" t="n"/>
      <c r="M24" s="11" t="inlineStr">
        <is>
          <t>Y</t>
        </is>
      </c>
      <c r="N24" s="12" t="n"/>
      <c r="O24" s="12" t="n"/>
      <c r="P24" s="20" t="n">
        <v>3</v>
      </c>
      <c r="Q24" s="20" t="n">
        <v>30</v>
      </c>
      <c r="R24" s="23" t="inlineStr">
        <is>
          <t>Low</t>
        </is>
      </c>
    </row>
    <row r="25">
      <c r="A25" s="10" t="inlineStr">
        <is>
          <t>royal canin</t>
        </is>
      </c>
      <c r="B25" s="10" t="inlineStr">
        <is>
          <t>siamese</t>
        </is>
      </c>
      <c r="C25" s="10" t="n">
        <v>6</v>
      </c>
      <c r="D25" s="10" t="n">
        <v>344</v>
      </c>
      <c r="E25" s="10" t="n">
        <v>35</v>
      </c>
      <c r="F25" s="10" t="inlineStr">
        <is>
          <t>Chicken By-Product Meal, Wheat Gluten, Corn, Wheat, Brewers Rice, Chicken Fat, Corn Gluten Meal, Natural Flavors, Dried Plain Beet Pulp, Fish Oil, Calcium Sulfate, Grain Distillers Dried Yeast, Sodium Silico Aluminate, Potassium Chloride, Salt, Vegetable Oil, Vitamins [Dl-Alpha Tocopherol Acetate (Source Of Vitamin E), Inositol, Niacin Supplement, L-Ascorbyl-2-Polyphosphate (Source Of Vitamin C), D-Calcium Pantothenate, Biotin, Pyridoxine Hydrochloride (Vitamin B6), Riboflavin Supplement, Thiamine Mononitrate (Vitamin B1), Vitamin A Acetate, Folic Acid, Vitamin B12 Supplement, Vitamin D3 Supplement], Sodium Pyrophosphate, Fructooligosaccharides, Choline Chloride, L-Lysine, Hydrolyzed Yeast, Taurine, Calcium Carbonate, Trace Minerals [Zinc Oxide, Zinc Proteinate, Ferrous Sulfate, Manganous Oxide, Manganese Proteinate, Copper Sulfate, Calcium Iodate, Sodium Selenite, Copper Proteinate], Marigold Extract (Tagetes Erecta L.), L-Carnitine, Magnesium Oxide, Rosemary Extract, Preserved With Mixed Tocopherols And Citric Acid.</t>
        </is>
      </c>
      <c r="H25" s="12" t="n"/>
      <c r="J25" s="12" t="n">
        <v>7.5</v>
      </c>
      <c r="K25" s="12" t="inlineStr">
        <is>
          <t>Avoid</t>
        </is>
      </c>
      <c r="L25" s="12" t="n"/>
      <c r="M25" s="12" t="n"/>
      <c r="N25" s="12" t="n"/>
      <c r="O25" s="11" t="inlineStr">
        <is>
          <t>Y</t>
        </is>
      </c>
      <c r="P25" s="20" t="n">
        <v>2</v>
      </c>
      <c r="Q25" s="20" t="n">
        <v>9</v>
      </c>
      <c r="R25" s="23" t="inlineStr">
        <is>
          <t>Low</t>
        </is>
      </c>
    </row>
    <row r="26">
      <c r="A26" s="10" t="inlineStr">
        <is>
          <t>blue buffalo</t>
        </is>
      </c>
      <c r="B26" s="10" t="inlineStr">
        <is>
          <t>Tastefuls Weight Control Adult</t>
        </is>
      </c>
      <c r="C26" s="10" t="n">
        <v>15</v>
      </c>
      <c r="D26" s="10" t="n">
        <v>346</v>
      </c>
      <c r="E26" s="10" t="n">
        <v>30</v>
      </c>
      <c r="F26" s="10" t="inlineStr">
        <is>
          <t>Deboned Chicken, Chicken Meal, Brown Rice, Barley, Oatmeal, Pea Protein, Pea Starch, Powdered Cellulose, Menhaden Fish Meal, Peas, Chicken Fat, Pea Fiber, Flaxseed, Potatoes, Dried Chicory Root, Dehydrated Alfalfa Meal, Alfalfa Nutrient Concentrate, Salt, Cranberries, Sweet Potatoes, Carrots, Blueberries, Barley Grass, Parsley, Turmeric, Dried Kelp, Yucca Schidigera Extract, Dried Yeast, Dried Enterococcus faecium fermentation product, Dried Lactobacillus acidophilus fermentation product, Dried Aspergillus niger fermentation extract, Dried Trichoderma longibrachiatum fermentation extract, Dried Bacillus subtilis fermentation extract, Oil of Rosemary.</t>
        </is>
      </c>
      <c r="G26" s="10" t="inlineStr">
        <is>
          <t>Deboned Chicken, Chicken Meal, Brown Rice, Barley, Oatmeal, Pea Protein, Pea Starch, Powdered Cellulose, Menhaden Fish Meal (source of Omega 3 Fatty Acids), Peas, Chicken Fat (preserved with Mixed Tocopherols), Pea Fiber, Natural Flavor, Flaxseed (source of Omega 6 Fatty Acids), Calcium Sulfate, DL-Methionine, Potassium Chloride, Choline Chloride, Potatoes, Calcium Chloride, Dried Chicory Root, Taurine, Dehydrated Alfalfa Meal, Alfalfa Nutrient Concentrate, Calcium Carbonate, Salt, Cranberries, Sweet Potatoes, Carrots, preserved with Mixed Tocopherols, L-Carnitine, Vegetable Juice for color, Ferrous Sulfate, Niacin (Vitamin B3), Iron Amino Acid Chelate, Zinc Amino Acid Chelate, Zinc Sulfate, Vitamin E Supplement, Blueberries, Barley Grass, Parsley, Turmeric, Dried Kelp, Yucca Schidigera Extract, Copper Sulfate, Thiamine Mononitrate (Vitamin B1), Copper Amino Acid Chelate, L-Ascorbyl-2-Polyphosphate (source of Vitamin C), L-Lysine, Biotin (Vitamin B7), Vitamin A Supplement, Manganese Sulfate, Manganese Amino Acid Chelate, Pyridoxine Hydrochloride (Vitamin B6), Calcium Pantothenate (Vitamin B5), Riboflavin (Vitamin B2), Vitamin D3 Supplement, Vitamin B12 Supplement, Folic Acid (Vitamin B9), Dried Yeast, Dried Enterococcus faecium fermentation product, Dried Lactobacillus acidophilus fermentation product, Dried Aspergillus niger fermentation extract, Dried Trichoderma longibrachiatum fermentation extract, Dried Bacillus subtilis fermentation extract, Calcium Iodate, Sodium Selenite, Oil of Rosemary.</t>
        </is>
      </c>
      <c r="H26" s="12" t="n"/>
      <c r="J26" s="12" t="n">
        <v>7</v>
      </c>
      <c r="K26" s="12" t="inlineStr">
        <is>
          <t>Avoid</t>
        </is>
      </c>
      <c r="L26" s="14" t="inlineStr">
        <is>
          <t>Y</t>
        </is>
      </c>
      <c r="M26" s="12" t="n"/>
      <c r="N26" s="12" t="n"/>
      <c r="O26" s="12" t="n"/>
      <c r="P26" s="20" t="n">
        <v>1</v>
      </c>
      <c r="Q26" s="20" t="n">
        <v>59</v>
      </c>
      <c r="R26" s="23" t="inlineStr">
        <is>
          <t>Low</t>
        </is>
      </c>
    </row>
    <row r="27">
      <c r="A27" s="10" t="inlineStr">
        <is>
          <t>7+ royal canin</t>
        </is>
      </c>
      <c r="B27" s="10" t="inlineStr">
        <is>
          <t>Aging Spayed</t>
        </is>
      </c>
      <c r="C27" s="10" t="n">
        <v>7</v>
      </c>
      <c r="D27" s="10" t="n">
        <v>347</v>
      </c>
      <c r="E27" s="10" t="n">
        <v>28</v>
      </c>
      <c r="F27" s="10" t="inlineStr">
        <is>
          <t>Corn, Corn Gluten Meal, Brewers Rice, Wheat Gluten, Wheat, Chicken Meal, Chicken Fat, Powdered Cellulose, Natural Flavors, Soy Protein Isolate, Chicory, Fish Oil, Vegetable Oil, Calcium Sulfate, Potassium Chloride, Psyllium Seed Husk, Calcium Carbonate, Fructooligosaccharides, Dl-Methionine, Potassium Citrate, Taurine, Hydrolyzed Yeast, Choline Chloride, L-Lysine, L-Tryptophan, Glucosamine Hydrochloride, Vitamins [Dl-Alpha Tocopherol (Source of Vitamin E), L-Ascorbyl-2-Polyphosphate (Source of Vitamin C), Niacin, Biotin, D-Calcium Pantothenate, Riboflavin (Vitamin B2), Pyridoxine Hydrochloride (Vitamin B6), Vitamin A Acetate, Sodium Pyrophosphate, Thiamine Mononitrate (Vitamin B1), Vitamin B12 Supplement, Folic Acid, Vitamin D3 Supplement], Trace Minerals (Zinc Proteinate, Zinc Oxide, Ferrous Sulfate, Manganese Proteinate, Manganous Oxide, Copper Sulfate, Calcium Iodate, Sodium Selenite, Copper Proteinate), L-Carnitine, Green Tea Extract, Lycopene, Marigold Extract (Tagetes Erecta L.), Chondroitin Sulfate, Rosemary Extract, Preserved with Natural Mixed Tocopherols and Citric Acid.</t>
        </is>
      </c>
      <c r="H27" s="12" t="n"/>
      <c r="J27" s="12" t="n">
        <v>11</v>
      </c>
      <c r="K27" s="12" t="inlineStr">
        <is>
          <t>Avoid</t>
        </is>
      </c>
      <c r="L27" s="12" t="n"/>
      <c r="M27" s="12" t="n"/>
      <c r="N27" s="12" t="n"/>
      <c r="O27" s="12" t="n"/>
      <c r="P27" s="20" t="n">
        <v>3</v>
      </c>
      <c r="Q27" s="20" t="n">
        <v>19</v>
      </c>
      <c r="R27" s="23" t="inlineStr">
        <is>
          <t>Low</t>
        </is>
      </c>
    </row>
    <row r="28">
      <c r="A28" s="10" t="inlineStr">
        <is>
          <t>Hills Science Diet</t>
        </is>
      </c>
      <c r="B28" s="10" t="inlineStr">
        <is>
          <t>c/d multicare urinary - chicken</t>
        </is>
      </c>
      <c r="C28" s="10" t="n">
        <v>17.6</v>
      </c>
      <c r="D28" s="10" t="n">
        <v>349</v>
      </c>
      <c r="E28" s="10" t="n">
        <v>30</v>
      </c>
      <c r="F28" s="10" t="inlineStr">
        <is>
          <t>Chicken, Whole Grain Corn, Corn Gluten Meal, Whole Grain Wheat, Brewers Rice, Pork Fat, Chicken Meal, Egg Product, Pork Flavor, Soybean Oil, Fish Oil, Lactic Acid, L-Lysine, Calcium Sulfate, Potassium Chloride, Choline Chloride, DL-Methionine, Potassium Citrate, vitamins (Vitamin E Supplement, Niacin Supplement, Thiamine Mononitrate, Calcium Pantothenate, Pyridoxine Hydrochloride, Vitamin A Supplement, Riboflavin Supplement, Biotin, Vitamin B12 Supplement, Folic Acid, Vitamin D3 Supplement), Taurine, minerals (Ferrous Sulfate, Zinc Oxide, Copper Sulfate, Manganous Oxide, Calcium Iodate, Sodium Selenite), Iodized Salt, Mixed Tocopherols for freshness, Natural Flavors, Beta-Carotene</t>
        </is>
      </c>
      <c r="G28" s="10" t="inlineStr">
        <is>
          <t>dissolves struvite crystals in 6 days</t>
        </is>
      </c>
      <c r="H28" s="12" t="n"/>
      <c r="J28" s="11" t="n">
        <v>0</v>
      </c>
      <c r="K28" s="11" t="inlineStr">
        <is>
          <t>Excellent</t>
        </is>
      </c>
      <c r="L28" s="12" t="n"/>
      <c r="M28" s="12" t="n"/>
      <c r="N28" s="12" t="n"/>
      <c r="O28" s="12" t="n"/>
      <c r="P28" s="20" t="n">
        <v>1</v>
      </c>
      <c r="Q28" s="20" t="n">
        <v>58</v>
      </c>
      <c r="R28" s="23" t="inlineStr">
        <is>
          <t>Low</t>
        </is>
      </c>
    </row>
    <row r="29">
      <c r="A29" s="10" t="inlineStr">
        <is>
          <t>Hills Science Diet</t>
        </is>
      </c>
      <c r="B29" s="10" t="inlineStr">
        <is>
          <t>c/d multicare stress urinary - chicken</t>
        </is>
      </c>
      <c r="C29" s="10" t="n">
        <v>17.6</v>
      </c>
      <c r="D29" s="10" t="n">
        <v>349</v>
      </c>
      <c r="E29" s="10" t="n">
        <v>30</v>
      </c>
      <c r="F29" s="10" t="inlineStr">
        <is>
          <t>Chicken, Whole Grain Corn, Corn Gluten Meal, Whole Grain Wheat, Brewers Rice, Chicken Fat, Chicken Meal, Egg Product, Pork Flavor, Soybean Oil, Fish Oil, L-Lysine, Lactic Acid, Calcium Sulfate, Potassium Chloride, Choline Chloride, Potassium Citrate, vitamins (Vitamin E Supplement, Niacin Supplement, Thiamine Mononitrate, Calcium Pantothenate, Pyridoxine Hydrochloride, Vitamin A Supplement, Riboflavin Supplement, Biotin, Vitamin B12 Supplement, Folic Acid, Vitamin D3 Supplement), Taurine, DL-Methionine, Dried Hydrolyzed Casein, Iodized Salt, L-Tryptophan, minerals (Ferrous Sulfate, Zinc Oxide, Copper Sulfate, Manganous Oxide, Calcium Iodate, Sodium Selenite), Mixed Tocopherols for freshness, Natural Flavors, Beta-Carotene.</t>
        </is>
      </c>
      <c r="H29" s="12" t="n"/>
      <c r="J29" s="11" t="n">
        <v>0</v>
      </c>
      <c r="K29" s="11" t="inlineStr">
        <is>
          <t>Excellent</t>
        </is>
      </c>
      <c r="L29" s="12" t="n"/>
      <c r="M29" s="12" t="n"/>
      <c r="N29" s="12" t="n"/>
      <c r="O29" s="12" t="n"/>
      <c r="P29" s="20" t="n">
        <v>1</v>
      </c>
      <c r="Q29" s="20" t="n">
        <v>58</v>
      </c>
      <c r="R29" s="23" t="inlineStr">
        <is>
          <t>Low</t>
        </is>
      </c>
    </row>
    <row r="30">
      <c r="A30" s="10" t="inlineStr">
        <is>
          <t>Merrick</t>
        </is>
      </c>
      <c r="B30" s="10" t="inlineStr">
        <is>
          <t>Grain free weight control</t>
        </is>
      </c>
      <c r="C30" s="10" t="n">
        <v>7</v>
      </c>
      <c r="D30" s="10" t="n">
        <v>350</v>
      </c>
      <c r="E30" s="10" t="n">
        <v>32</v>
      </c>
      <c r="F30" s="10" t="inlineStr">
        <is>
          <t>Deboned Chicken, Chicken Meal, Turkey Meal, Sweet Potatoes, Potatoes, Peas, Miscanthus Grass, Pea Protein, Potato Protein, Chicken Fat, Pea Fiber, Dried Egg Product, Ground Flaxseed, Inulin, Dried Whey Protein Concentrate, Salt, Organic Dried Alfalfa Meal, Salmon Oil, Yucca Schidigera Extract, Dried Bacillus coagulans Fermentation Product, Dried Lactobacillus plantarum Fermentation Product, Dried Lactobacillus casei Fermentation Product, Dried Enterococcus faecium Fermentation Product, Dried Lactobacillus acidophilus Fermentation Product.</t>
        </is>
      </c>
      <c r="G30" s="10" t="inlineStr">
        <is>
          <t>Deboned Chicken, Chicken Meal, Turkey Meal, Sweet Potatoes, Potatoes, Peas, Miscanthus Grass, Pea Protein, Potato Protein, Chicken Fat (preserved with mixed tocopherols), Pea Fiber, Natural Flavor, Dried Egg Product, Ground Flaxseed, Inulin (from chicory root), Phosphoric Acid, Dried Whey Protein Concentrate, Choline Chloride, Salt, Organic Dried Alfalfa Meal, Salmon Oil, Taurine, Minerals (Iron Amino Acid Complex, Zinc Amino Acid Complex, Zinc Sulfate, Sodium Selenite, Manganese Amino Acid Complex, Copper Amino Acid Complex, Copper Sulfate, Potassium Iodide, Cobalt Proteinate, Cobalt Carbonate), Yucca Schidigera Extract, L-Carnitine, Vitamins (Vitamin E Supplement, Vitamin B12 Supplement, d-Calcium Pantothenate, Vitamin A Acetate, Thiamine Mononitrate, Niacin, Pyridoxine Hydrochloride, Riboflavin Supplement, Biotin, Vitamin D3 Supplement, Folic Acid), Dried Bacillus coagulans Fermentation Product, Dried Lactobacillus plantarum Fermentation Product, Dried Lactobacillus casei Fermentation Product, Dried Enterococcus faecium Fermentation Product, Dried Lactobacillus acidophilus Fermentation Product.</t>
        </is>
      </c>
      <c r="H30" s="12" t="n"/>
      <c r="J30" s="12" t="n">
        <v>7</v>
      </c>
      <c r="K30" s="12" t="inlineStr">
        <is>
          <t>Avoid</t>
        </is>
      </c>
      <c r="L30" s="14" t="inlineStr">
        <is>
          <t>Y</t>
        </is>
      </c>
      <c r="M30" s="12" t="n"/>
      <c r="N30" s="12" t="n"/>
      <c r="O30" s="12" t="n"/>
      <c r="P30" s="20" t="n">
        <v>2</v>
      </c>
      <c r="Q30" s="20" t="n">
        <v>68</v>
      </c>
      <c r="R30" s="22" t="inlineStr">
        <is>
          <t>Mod</t>
        </is>
      </c>
    </row>
    <row r="31">
      <c r="A31" s="10" t="inlineStr">
        <is>
          <t>blue buffalo</t>
        </is>
      </c>
      <c r="B31" s="10" t="inlineStr">
        <is>
          <t>w/u</t>
        </is>
      </c>
      <c r="C31" s="10" t="n">
        <v>16</v>
      </c>
      <c r="D31" s="10" t="n">
        <v>352</v>
      </c>
      <c r="E31" s="10" t="n">
        <v>38</v>
      </c>
      <c r="F31" s="10" t="inlineStr">
        <is>
          <t>Deboned Chicken, Chicken Meal, Pea Protein, Tapioca Starch, Powdered Cellulose, Natural Flavor, Chicken Fat (preserved with Mixed Tocopherols), Flaxseed (source of Omega 3 and 6 Fatty Acids), Gelatin, Peas, Calcium Chloride, L-Threonine, Calcium Sulfate, DL-Methionine, Potassium Chloride, Choline Chloride, Cranberries, Dried Chicory Root, Betaine Hydrochloride, Potato Starch, Taurine, Potatoes, Pea Fiber, Alfalfa Nutrient Concentrate, Calcium Carbonate, L-Tryptophan, L-Lysine, Vitamin E Supplement, Sweet Potatoes, Carrots, L-Carnitine, preserved with Mixed Tocopherols, Iron Amino Acid Chelate, Zinc Amino Acid Chelate, Vegetable Juice for color, Salt, Niacin (Vitamin B3), Copper Amino Acid Chelate, Blueberries, Barley Grass, Parsley, Turmeric, Dried Kelp, Yucca Schidigera Extract, Manganese Amino Acid Chelate, Thiamine Mononitrate (Vitamin B1), L-Ascorbyl-2-Polyphosphate (source of Vitamin C), Biotin (Vitamin B7), Vitamin A Supplement, Pyridoxine Hydrochloride (Vitamin B6), Calcium Pantothenate (Vitamin B5), Riboflavin (Vitamin B2), Ferrous Sulfate, Zinc Sulfate, Vitamin D3 Supplement, Vitamin B12 Supplement, Folic Acid (Vitamin B9), Copper Sulfate, Dried Yeast, Dried Enterococcus faecium fermentation product, Dried Lactobacillus acidophilus fermentation product, Dried Aspergillus niger fermentation extract, Dried Trichoderma longibrachiatum fermentation extract, Dried Bacillus subtilis fermentation extract, Manganese Sulfate, Calcium Iodate, Sodium Selenite, Oil of Rosemary.</t>
        </is>
      </c>
      <c r="H31" s="11" t="inlineStr">
        <is>
          <t>Y</t>
        </is>
      </c>
      <c r="J31" s="12" t="n">
        <v>7</v>
      </c>
      <c r="K31" s="12" t="inlineStr">
        <is>
          <t>Avoid</t>
        </is>
      </c>
      <c r="L31" s="14" t="inlineStr">
        <is>
          <t>Y</t>
        </is>
      </c>
      <c r="M31" s="11" t="inlineStr">
        <is>
          <t>Y</t>
        </is>
      </c>
      <c r="N31" s="12" t="n"/>
      <c r="O31" s="11" t="inlineStr">
        <is>
          <t>Y</t>
        </is>
      </c>
      <c r="P31" s="20" t="n">
        <v>1</v>
      </c>
      <c r="Q31" s="20" t="n">
        <v>58</v>
      </c>
      <c r="R31" s="23" t="inlineStr">
        <is>
          <t>Low</t>
        </is>
      </c>
    </row>
    <row r="32">
      <c r="A32" s="10" t="inlineStr">
        <is>
          <t xml:space="preserve">iams </t>
        </is>
      </c>
      <c r="B32" s="10" t="inlineStr">
        <is>
          <t>sensitive digestion &amp; skin</t>
        </is>
      </c>
      <c r="C32" s="10">
        <f>13*2</f>
        <v/>
      </c>
      <c r="D32" s="10" t="n">
        <v>352</v>
      </c>
      <c r="E32" s="10" t="n">
        <v>33</v>
      </c>
      <c r="F32" s="10" t="inlineStr">
        <is>
          <t>Turkey, Chicken By-Product Meal, Ground Whole Grain Corn, Brewers Rice, Chicken Meal, Corn Gluten Meal, Chicken Fat (Preserved with Mixed Tocopherols), Ground Sorghum, Dried Plain Beet Pulp, Fish Oil (Preserved with Mixed Tocopherols), Natural Flavor, Sodium Bisulfate, Caramel Color, Fructooligosaccharides, Dried Egg Product, Potassium Chloride, Brewers Dried Yeast, Choline Chloride, Vitamins [Vitamin E Supplement, Niacin, Ascorbic Acid, Vitamin A Acetate, Calcium Pantothenate, Biotin, Thiamine Mononitrate (Source of Vitamin B1), Pyridoxine Hydrochloride (Source of Vitamin B6), Vitamin B12 Supplement, Riboflavin Supplement (Source of Vitamin B2), Inositol, Vitamin D3 Supplement, Folic Acid], Taurine, Calcium Carbonate, Minerals [Zinc Oxide, Manganese Sulfate, Copper Sulfate, Potassium Iodide], L-Carnitine, Rosemary Extract.</t>
        </is>
      </c>
      <c r="H32" s="12" t="n"/>
      <c r="J32" s="12" t="n">
        <v>6.5</v>
      </c>
      <c r="K32" s="12" t="inlineStr">
        <is>
          <t>Avoid</t>
        </is>
      </c>
      <c r="L32" s="12" t="n"/>
      <c r="M32" s="12" t="n"/>
      <c r="N32" s="12" t="n"/>
      <c r="O32" s="12" t="n"/>
      <c r="P32" s="20" t="n">
        <v>1</v>
      </c>
      <c r="Q32" s="20" t="n">
        <v>62</v>
      </c>
      <c r="R32" s="23" t="inlineStr">
        <is>
          <t>Low</t>
        </is>
      </c>
    </row>
    <row r="33">
      <c r="A33" s="10" t="inlineStr">
        <is>
          <t>N&amp;D Farmina</t>
        </is>
      </c>
      <c r="B33" s="10" t="inlineStr">
        <is>
          <t xml:space="preserve">Neutered Lamb, spelt, oats and tropical fruits </t>
        </is>
      </c>
      <c r="C33" s="10" t="n">
        <v>22</v>
      </c>
      <c r="D33" s="10" t="n">
        <v>352</v>
      </c>
      <c r="E33" s="10" t="n">
        <v>31</v>
      </c>
      <c r="F33" s="10" t="inlineStr">
        <is>
          <t>Lamb, Dehydrated Lamb, Whole Spelt, Whole Oats, Dried Beet Pulp, Dehydrated Herring, Suncured Alfalfa Meal, Dried Eggs, Chicken Fat, Herring Oil, Dried Carrot, Inulin, Fructooligosaccharide, Yeast Extract, Dried Banana, Dried Kiwi, Dried Mango, Dried Papaya, Dried Pineapple, Dried Spinach, Psyllium Seed Husk, Salt, Brewers Dried Yeast, Turmeric, Vitamin A Supplement, Vitamin D3 Supplement, Vitamin E Supplement, Ascorbic Acid, Niacin, Calcium Pantothenate, Riboflavin, Pyridoxine Hydrochloride, Thiamine Hydrochloride, Biotin, Folic Acid, Vitamin B12 Supplement, Choline Chloride, Zinc Oxide, Zinc Sulfate, Manganous Sulfate, Iron Sulfate, Iron Carbonate, Copper Sulfate, Calcium Iodate, Dlmethionine, Taurine, L-Carnitine, Aloe Vera Gel Concentrate, Green Tea Extract, Rosemary Extract, Mixed Tocopherols (A Preservative).</t>
        </is>
      </c>
      <c r="H33" s="12" t="n"/>
      <c r="J33" s="12" t="n">
        <v>12.5</v>
      </c>
      <c r="K33" s="12" t="inlineStr">
        <is>
          <t>Avoid</t>
        </is>
      </c>
      <c r="L33" s="12" t="n"/>
      <c r="M33" s="12" t="n"/>
      <c r="N33" s="12" t="n"/>
      <c r="O33" s="12" t="n"/>
      <c r="P33" s="20" t="n">
        <v>0</v>
      </c>
      <c r="Q33" s="20" t="n">
        <v>60</v>
      </c>
      <c r="R33" s="23" t="inlineStr">
        <is>
          <t>Low</t>
        </is>
      </c>
    </row>
    <row r="34">
      <c r="A34" s="10" t="inlineStr">
        <is>
          <t>Farmina</t>
        </is>
      </c>
      <c r="B34" s="10" t="inlineStr">
        <is>
          <t>HP Derma</t>
        </is>
      </c>
      <c r="D34" s="10" t="n">
        <v>353</v>
      </c>
      <c r="E34" s="10" t="n">
        <v>27</v>
      </c>
      <c r="F34" s="10" t="inlineStr">
        <is>
          <t xml:space="preserve">hydrolyzed fish, rice starch, herring oil, powdered cellulose, calcium carbonate, fructooligosaccharide, potassium chloride, calcium sulfate dihydrate, monocalcium phosphate, salt, vitamin A supplement, vitamin D3 supplement, vitamin E supplement, ascorbic acid, niacin, calcium pantothenate, riboflavin, pyridoxine hydrochloride, thiamine hydrochloride, biotin, folic acid, vitamin B12 supplement, choline chloride, beta-carotene, zinc methionine hydroxy analogue chelate, manganese methionine hydroxy analogue chelate, ferrous glycine, copper methionine hydroxy analogue chelate, calcium iodate, DL-Methionine, taurine, L-Carnitine, mixed tocopherols </t>
        </is>
      </c>
      <c r="H34" s="12" t="n"/>
      <c r="J34" s="12" t="n">
        <v>5</v>
      </c>
      <c r="K34" s="13" t="inlineStr">
        <is>
          <t>Poor</t>
        </is>
      </c>
      <c r="L34" s="12" t="n"/>
      <c r="M34" s="12" t="n"/>
      <c r="N34" s="12" t="n"/>
      <c r="O34" s="12" t="n"/>
      <c r="P34" s="20" t="n">
        <v>0</v>
      </c>
      <c r="Q34" s="20" t="n">
        <v>100</v>
      </c>
      <c r="R34" s="21" t="inlineStr">
        <is>
          <t>High</t>
        </is>
      </c>
    </row>
    <row r="35">
      <c r="A35" s="10" t="inlineStr">
        <is>
          <t>N&amp;D Farmina</t>
        </is>
      </c>
      <c r="B35" s="10" t="inlineStr">
        <is>
          <t>Pumpkin Quail &amp; Pomegranate Neutered</t>
        </is>
      </c>
      <c r="D35" s="10" t="n">
        <v>356</v>
      </c>
      <c r="E35" s="10" t="n">
        <v>46</v>
      </c>
      <c r="F35" s="10" t="inlineStr">
        <is>
          <t>quail, dehydrated quail, pea starch, dried pumpkin, dried whole eggs, chicken fat, herring, dehydrated herring, herring oil, dried carrot, suncured alfalfa meal, inulin, fructooligosaccharide, yeast extract, dried pomegranate, dried apple, dried spinach, psyllium seed husk, dried sweet orange, dried blueberry, salt, brewers dried yeast, turmeric, vitamin A supplement, vitamin D3 supplement, vitamin E supplement, ascorbic acid, niacin, calcium pantothenate, riboflavin, pyridoxine hydrochloride, thiamine hydrochloride, biotin, folic acid, vitamin B12 supplement, choline chloride, beta-carotene, zinc methionine hydroxy analogue chelate, manganese methionine hydroxy analogue chelate, ferrous glycine, copper methionine hydroxy analogue chelate, DL-Methionine, taurine, L-Carnitine, aloe vera gel concentrate, green tea extract, rosemary extract, mixed tocopherols (a preservative).</t>
        </is>
      </c>
      <c r="H35" s="12" t="n"/>
      <c r="J35" s="12" t="n">
        <v>11.5</v>
      </c>
      <c r="K35" s="12" t="inlineStr">
        <is>
          <t>Avoid</t>
        </is>
      </c>
      <c r="L35" s="12" t="n"/>
      <c r="M35" s="12" t="n"/>
      <c r="N35" s="12" t="n"/>
      <c r="O35" s="11" t="inlineStr">
        <is>
          <t>Y</t>
        </is>
      </c>
      <c r="P35" s="20" t="n">
        <v>0</v>
      </c>
      <c r="Q35" s="20" t="n">
        <v>63</v>
      </c>
      <c r="R35" s="23" t="inlineStr">
        <is>
          <t>Low</t>
        </is>
      </c>
    </row>
    <row r="36">
      <c r="A36" s="10" t="inlineStr">
        <is>
          <t>Purina One</t>
        </is>
      </c>
      <c r="B36" s="10" t="inlineStr">
        <is>
          <t>True Instinct - chicken</t>
        </is>
      </c>
      <c r="C36" s="10" t="n">
        <v>14.4</v>
      </c>
      <c r="D36" s="10" t="n">
        <v>356</v>
      </c>
      <c r="E36" s="10" t="n">
        <v>35</v>
      </c>
      <c r="F36" s="10" t="inlineStr">
        <is>
          <t xml:space="preserve">Chicken, Chicken Meal, Pea Starch, Cassava Root Flour, Soy Protein Isolate, Soybean Meal, Beef Fat Preserved With Mixed-tocopherols, Dried Egg Product, Pea Protein, Canola Meal, Dried Yeast, Natural Flavor, Soy Protein Concentrate, Glycerin, Phosphoric Acid, Amino Acids (L-lysine Monohydrochloride, L-cysteine, Dl-methionine), Calcium Carbonate, Salt, Minerals [Potassium Chloride, Zinc Sulfate, Ferrous Sulfate, Manganese Sulfate, Copper Sulfate, Calcium Iodate, Sodium Selenite], Sodium Bisulfate, Choline Chloride, Taurine, Vitamins [Vitamin E Supplement, Niacin (Vitamin B-3), Vitamin A Supplement, Calcium Pantothenate (Vitamin B-5), Thiamine Mononitrate (Vitamin B-1), Riboflavin Supplement (Vitamin B-2), Vitamin B-12 Supplement, Pyridoxine Hydrochloride (Vitamin B-6), Folic Acid (Vitamin B-9), Vitamin D-3 Supplement, Biotin (Vitamin B-7), Menadione Sodium Bisulfite Complex (Vitamin K)]. </t>
        </is>
      </c>
      <c r="H36" s="11" t="inlineStr">
        <is>
          <t>Y</t>
        </is>
      </c>
      <c r="J36" s="12" t="n">
        <v>2</v>
      </c>
      <c r="K36" s="14" t="inlineStr">
        <is>
          <t>Moderate</t>
        </is>
      </c>
      <c r="L36" s="11" t="n"/>
      <c r="M36" s="11" t="inlineStr">
        <is>
          <t>Y</t>
        </is>
      </c>
      <c r="N36" s="11" t="inlineStr">
        <is>
          <t>Y</t>
        </is>
      </c>
      <c r="O36" s="11" t="inlineStr">
        <is>
          <t>Y</t>
        </is>
      </c>
      <c r="P36" s="20" t="n">
        <v>2</v>
      </c>
      <c r="Q36" s="20" t="n">
        <v>42</v>
      </c>
      <c r="R36" s="23" t="inlineStr">
        <is>
          <t>Low</t>
        </is>
      </c>
    </row>
    <row r="37">
      <c r="A37" s="10" t="inlineStr">
        <is>
          <t>Purina One</t>
        </is>
      </c>
      <c r="B37" s="10" t="inlineStr">
        <is>
          <t>True Instinct - whitefish</t>
        </is>
      </c>
      <c r="C37" s="10" t="n">
        <v>14.4</v>
      </c>
      <c r="D37" s="10" t="n">
        <v>356</v>
      </c>
      <c r="E37" s="10" t="n">
        <v>35</v>
      </c>
      <c r="F37" s="10" t="inlineStr">
        <is>
          <t xml:space="preserve">Ocean Whitefish, Chicken Meal, Pea Starch, Cassava Root Flour, Soy Protein Isolate, Beef Fat Preserved With Mixed-tocopherols, Soybean Meal, Pea Protein, Dried Egg Product, Canola Meal, Dried Yeast, Soy Protein Concentrate, Liver Flavor, Glycerin, Chicken, Phosphoric Acid, Calcium Carbonate, Salt, Amino Acids (L-lysine Monohydrochloride, L-cysteine, Dl-methionine), Potassium Chloride, Sodium Bisulfate, Choline Chloride, Taurine, Vitamins [Vitamin E Supplement, Niacin (Vitamin B-3), Vitamin A Supplement, Calcium Pantothenate (Vitamin B-5), Thiamine Mononitrate (Vitamin B-1), Riboflavin Supplement (Vitamin B-2), Vitamin B-12 Supplement, Pyridoxine Hydrochloride (Vitamin B-6), Folic Acid (Vitamin B-9), Vitamin D-3 Supplement, Biotin (Vitamin B-7), Menadione Sodium Bisulfite Complex (Vitamin K)], Minerals [Zinc Sulfate, Ferrous Sulfate, Manganese Sulfate, Copper Sulfate, Calcium Iodate, Sodium Selenite]. </t>
        </is>
      </c>
      <c r="H37" s="12" t="n"/>
      <c r="J37" s="12" t="n">
        <v>2</v>
      </c>
      <c r="K37" s="14" t="inlineStr">
        <is>
          <t>Moderate</t>
        </is>
      </c>
      <c r="L37" s="12" t="n"/>
      <c r="M37" s="12" t="n"/>
      <c r="N37" s="11" t="inlineStr">
        <is>
          <t>Y</t>
        </is>
      </c>
      <c r="O37" s="11" t="inlineStr">
        <is>
          <t>Y</t>
        </is>
      </c>
      <c r="P37" s="20" t="n">
        <v>2</v>
      </c>
      <c r="Q37" s="20" t="n">
        <v>42</v>
      </c>
      <c r="R37" s="23" t="inlineStr">
        <is>
          <t>Low</t>
        </is>
      </c>
    </row>
    <row r="38">
      <c r="A38" s="10" t="inlineStr">
        <is>
          <t>Purina Pro Plan</t>
        </is>
      </c>
      <c r="B38" s="10" t="inlineStr">
        <is>
          <t>Indoor hairball shredded</t>
        </is>
      </c>
      <c r="C38" s="10" t="n">
        <v>12</v>
      </c>
      <c r="D38" s="10" t="n">
        <v>357</v>
      </c>
      <c r="E38" s="10" t="n">
        <v>36</v>
      </c>
      <c r="F38" s="10" t="inlineStr">
        <is>
          <t>Turkey, Corn Gluten Meal, Chicken Meal, Rice, Powdered Cellulose, Soybean Meal, Beef Fat Preserved With Mixed-tocopherols, Soy Protein Isolate, Dried Egg Product, Soy Protein Concentrate, Cassava Root Flour, Natural Flavor, Sodium Caseinate, Glycerin, Chicken, Chicory Root Inulin, Salt, Potassium Chloride, Calcium Carbonate, Gelatin, Phosphoric Acid, Caramel color, Choline Chloride, Taurine, Minerals [Zinc Sulfate, Ferrous Sulfate, Manganese Sulfate, Copper Sulfate, Calcium Iodate, Sodium Selenite], Vitamins [Vitamin E Supplement, Niacin (Vitamin B-3), Vitamin A Supplement, Calcium Pantothenate (Vitamin B-5), Thiamine Mononitrate (Vitamin B-1), Riboflavin Supplement (Vitamin B-2), Vitamin B-12 Supplement, Pyridoxine Hydrochloride (Vitamin B-6), Folic Acid (Vitamin B-9), Vitamin D-3 Supplement, Biotin (Vitamin B-7), Menadione Sodium Bisulfite Complex (Vitamin K)], L-lysine Monohydrochloride, L-cysteine, Sodium Bisulfate, Dl-methionine, Dried Bacillus Coagulans Fermentation Product, Sulfur.</t>
        </is>
      </c>
      <c r="H38" s="11" t="inlineStr">
        <is>
          <t>Y</t>
        </is>
      </c>
      <c r="J38" s="12" t="n">
        <v>10</v>
      </c>
      <c r="K38" s="12" t="inlineStr">
        <is>
          <t>Avoid</t>
        </is>
      </c>
      <c r="L38" s="14" t="inlineStr">
        <is>
          <t>Y</t>
        </is>
      </c>
      <c r="M38" s="11" t="inlineStr">
        <is>
          <t>Y</t>
        </is>
      </c>
      <c r="N38" s="12" t="n"/>
      <c r="O38" s="11" t="inlineStr">
        <is>
          <t>Y</t>
        </is>
      </c>
      <c r="P38" s="20" t="n">
        <v>2</v>
      </c>
      <c r="Q38" s="20" t="n">
        <v>44</v>
      </c>
      <c r="R38" s="23" t="inlineStr">
        <is>
          <t>Low</t>
        </is>
      </c>
    </row>
    <row r="39">
      <c r="A39" s="10" t="inlineStr">
        <is>
          <t>N&amp;D Farmina</t>
        </is>
      </c>
      <c r="B39" s="10" t="inlineStr">
        <is>
          <t>Neutered, Lamb, Pumpkin and Blueberry Adult</t>
        </is>
      </c>
      <c r="D39" s="10" t="n">
        <v>358</v>
      </c>
      <c r="E39" s="10" t="n">
        <v>46</v>
      </c>
      <c r="F39" s="10" t="inlineStr">
        <is>
          <t>lamb, dehydrated lamb, sweet potatoes, dehydrated herring, dried pumpkin, dried whole eggs, chicken fat, herring oil, dried beet pulp, dried carrot, suncured alfalfa meal, inulin, fructooligosaccharide, yeast extract, dried blueberry, dried pomegranate, dried spinach, psyllium seed husk, dried sweet orange, dried apple, salt, brewers dried yeast, turmeric, vitamin A supplement, vitamin D3 supplement, vitamin E supplement, ascorbic acid, niacin, calcium pantothenate, riboflavin, pyridoxine hydrochloride, thiamine hydrochloride, biotin, folic acid, vitamin B12 supplement, choline chloride, beta-carotene, zinc methionine hydroxy analogue chelate, manganese methionine hydroxy analogue chelate, ferrous glycine, copper methionine hydroxy analogue chelate, DL-Methionine, taurine, L-Carnitine, aloe vera gel concentrate, green tea extract, rosemary extract, mixed tocopherols (a preservative).</t>
        </is>
      </c>
      <c r="H39" s="12" t="n"/>
      <c r="J39" s="12" t="n">
        <v>12.5</v>
      </c>
      <c r="K39" s="12" t="inlineStr">
        <is>
          <t>Avoid</t>
        </is>
      </c>
      <c r="L39" s="12" t="n"/>
      <c r="M39" s="12" t="n"/>
      <c r="N39" s="12" t="n"/>
      <c r="O39" s="11" t="inlineStr">
        <is>
          <t>Y</t>
        </is>
      </c>
      <c r="P39" s="20" t="n">
        <v>0</v>
      </c>
      <c r="Q39" s="20" t="n">
        <v>61</v>
      </c>
      <c r="R39" s="23" t="inlineStr">
        <is>
          <t>Low</t>
        </is>
      </c>
    </row>
    <row r="40">
      <c r="A40" s="10" t="inlineStr">
        <is>
          <t xml:space="preserve">Solid Gold </t>
        </is>
      </c>
      <c r="B40" s="10" t="inlineStr">
        <is>
          <t>Weight Control Alaskan Pollock</t>
        </is>
      </c>
      <c r="C40" s="10" t="n">
        <v>12</v>
      </c>
      <c r="D40" s="10" t="n">
        <v>360</v>
      </c>
      <c r="E40" s="10" t="n">
        <v>31</v>
      </c>
      <c r="F40" s="10" t="inlineStr">
        <is>
          <t>Pollock, Turkey Meal, Peas, Tapioca, Chickpeas, Pea Fiber, Ocean Fish Meal, Chicken Meal, Chicken Fat , Dried Eggs, Potatoes, Carrots, Pumpkin, Blueberries, Cranberries, Salmon Oil , Dried Chicory Root, Rosemary Extract, Dried Bacillus Coagulans Fermentation Product.</t>
        </is>
      </c>
      <c r="G40" s="10" t="inlineStr">
        <is>
          <t>Pollock, Turkey Meal, Peas, Tapioca, Chickpeas, Pea Fiber, Ocean Fish Meal, Chicken Meal, Chicken Fat (Preserved with Mixed Tocopherols), Natural Flavor, Dried Eggs, Potatoes, Carrots, Potassium Chloride, Pumpkin, Choline Chloride, Blueberries, Cranberries, Salmon Oil (Preserved with Mixed Tocopherols), DL-Methionine, Taurine, Vitamins (Vitamin E Supplement, L-Ascorbyl-2-Polyphosphate (Source of Vitamin C), Niacin, Calcium Pantothenate, Riboflavin, Pyridoxine Hydrochloride, Thiamine Mononitrate, Vitamin A Supplement, Vitamin B12 Supplement, Vitamin D3 Supplement, Biotin, Folic Acid), Calcium Sulfate, Dried Chicory Root, Minerals (Zinc Sulfate, Ferrous Sulfate, Copper Sulfate, Manganese Sulfate, Zinc Proteinate, Manganese Proteinate, Copper Proteinate, Sodium Selenite, Calcium Iodate), Rosemary Extract, Dried Bacillus Coagulans Fermentation Product.</t>
        </is>
      </c>
      <c r="H40" s="12" t="n"/>
      <c r="J40" s="12" t="n">
        <v>9</v>
      </c>
      <c r="K40" s="12" t="inlineStr">
        <is>
          <t>Avoid</t>
        </is>
      </c>
      <c r="L40" s="14" t="inlineStr">
        <is>
          <t>Y</t>
        </is>
      </c>
      <c r="M40" s="12" t="n"/>
      <c r="N40" s="12" t="n"/>
      <c r="O40" s="12" t="n"/>
      <c r="P40" s="20" t="n">
        <v>0</v>
      </c>
      <c r="Q40" s="20" t="n">
        <v>85</v>
      </c>
      <c r="R40" s="21" t="inlineStr">
        <is>
          <t>High</t>
        </is>
      </c>
    </row>
    <row r="41">
      <c r="A41" s="10" t="inlineStr">
        <is>
          <t>blue buffalo</t>
        </is>
      </c>
      <c r="B41" s="10" t="inlineStr">
        <is>
          <t>rue Solutions Healthy Weight Natural Weight Control Chicken</t>
        </is>
      </c>
      <c r="C41" s="10" t="n">
        <v>11</v>
      </c>
      <c r="D41" s="10" t="n">
        <v>360</v>
      </c>
      <c r="E41" s="10" t="n">
        <v>36</v>
      </c>
      <c r="F41" s="10" t="inlineStr">
        <is>
          <t>Deboned Chicken, Chicken Meal, Pea Protein, Barley, Powdered Cellulose, Menhaden Fish Meal , Potato Starch, Brown Rice, Dried Tomato Pomace, Dried Plain Beet Pulp, Chicken Fat, Flaxseed, Dried Egg Product, Peas, Canola Oil, Potatoes, Pea Fiber, Alfalfa Nutrient Concentrate, Sweet Potatoes, Carrots, Salt, Blueberries, Cranberries, Barley Grass, Parsley, Turmeric, Dried Kelp, Yucca Schidigera Extract, Dried Yeast, Dried Enterococcus faecium fermentation product, Dried Lactobacillus acidophilus fermentation product, Dried Aspergillus niger fermentation extract, Dried Trichoderma longibrachiatum fermentation extract, Dried Bacillus subtilis fermentation extract, Oil of Rosemary.</t>
        </is>
      </c>
      <c r="G41" s="10" t="inlineStr">
        <is>
          <t>Deboned Chicken, Chicken Meal, Pea Protein, Barley, Powdered Cellulose, Menhaden Fish Meal (source of Omega 3 Fatty Acids), Potato Starch, Brown Rice, Dried Tomato Pomace, Natural Flavor, Dried Plain Beet Pulp, Chicken Fat (preserved with Mixed Tocopherols), Flaxseed (source of Omega 6 Fatty Acids), Dried Egg Product, Peas, Calcium Chloride, Choline Chloride, L-Threonine, DL-Methionine, Canola Oil, Taurine, Potatoes, Calcium Sulfate, Potassium Sulfate, Calcium Carbonate, Pea Fiber, Alfalfa Nutrient Concentrate, Potassium Chloride, Vitamin E Supplement, Sweet Potatoes, Carrots, L-Carnitine, L-Tryptophan, preserved with Mixed Tocopherols, Salt, L-Ascorbyl-2-Polyphosphate (source of Vitamin C), Vegetable Juice for color, Ferrous Sulfate, Niacin (Vitamin B3), Iron Amino Acid Chelate, Zinc Amino Acid Chelate, Zinc Sulfate, Blueberries, Cranberries, Barley Grass, Parsley, Turmeric, Dried Kelp, Yucca Schidigera Extract, Copper Sulfate, Thiamine Mononitrate (Vitamin B1), Copper Amino Acid Chelate, Biotin (Vitamin B7), L-Lysine, Vitamin A Supplement, Manganese Sulfate, Manganese Amino Acid Chelate, Pyridoxine Hydrochloride (Vitamin B6), Calcium Pantothenate (Vitamin B5), Riboflavin (Vitamin B2), Vitamin D3 Supplement, Vitamin B12 Supplement, Folic Acid (Vitamin B9), Dried Yeast, Dried Enterococcus faecium fermentation product, Dried Lactobacillus acidophilus fermentation product, Dried Aspergillus niger fermentation extract, Dried Trichoderma longibrachiatum fermentation extract, Dried Bacillus subtilis fermentation extract, Calcium Iodate, Sodium Selenite, Oil of Rosemary.</t>
        </is>
      </c>
      <c r="H41" s="12" t="n"/>
      <c r="J41" s="12" t="n">
        <v>3.5</v>
      </c>
      <c r="K41" s="13" t="inlineStr">
        <is>
          <t>Poor</t>
        </is>
      </c>
      <c r="L41" s="14" t="inlineStr">
        <is>
          <t>Y</t>
        </is>
      </c>
      <c r="M41" s="12" t="n"/>
      <c r="N41" s="12" t="n"/>
      <c r="O41" s="11" t="inlineStr">
        <is>
          <t>Y</t>
        </is>
      </c>
      <c r="P41" s="20" t="n">
        <v>1</v>
      </c>
      <c r="Q41" s="20" t="n">
        <v>60</v>
      </c>
      <c r="R41" s="23" t="inlineStr">
        <is>
          <t>Low</t>
        </is>
      </c>
    </row>
    <row r="42">
      <c r="A42" s="10" t="inlineStr">
        <is>
          <t>blue buffalo</t>
        </is>
      </c>
      <c r="B42" s="10" t="inlineStr">
        <is>
          <t>Tastefuls Weight &amp; Hairball Control</t>
        </is>
      </c>
      <c r="C42" s="10" t="n">
        <v>7</v>
      </c>
      <c r="D42" s="10" t="n">
        <v>363</v>
      </c>
      <c r="E42" s="10" t="n">
        <v>30</v>
      </c>
      <c r="F42" s="10" t="inlineStr">
        <is>
          <t>Deboned Chicken, Chicken Meal, Barley, Brown Rice, Pea Starch, Pea Protein, Powdered Cellulose, Menhaden Fish Meal, Peas, Oatmeal, Pea Fiber, Chicken Fat , Flaxseed , Psyllium Seed Husks, Potatoes, Dehydrated Alfalfa Meal, Alfalfa Nutrient Concentrate, Sweet Potatoes, Carrots, Salt, Blueberries, Cranberries, Barley Grass, Parsley, Turmeric, Dried Kelp, Yucca Schidigera Extract, Dried Yeast, Dried Enterococcus faecium fermentation product, Dried Lactobacillus acidophilus fermentation product, Dried Aspergillus niger fermentation extract, Dried Trichoderma longibrachiatum fermentation extract, Dried Bacillus subtilis fermentation extract, Oil of Rosemary.</t>
        </is>
      </c>
      <c r="G42" s="10" t="inlineStr">
        <is>
          <t>Deboned Chicken, Chicken Meal, Barley, Brown Rice, Pea Starch, Pea Protein, Powdered Cellulose, Menhaden Fish Meal (source of Omega 3 Fatty Acids), Peas, Oatmeal, Pea Fiber, Chicken Fat (preserved with Mixed Tocopherols), Natural Flavor, Flaxseed (source of Omega 6 Fatty Acids), Calcium Sulfate, DL-Methionine, Choline Chloride, Calcium Chloride, Psyllium Seed Husks, Potassium Chloride, Potatoes, L-Lysine, Taurine, Dehydrated Alfalfa Meal, Alfalfa Nutrient Concentrate, Calcium Carbonate, Sweet Potatoes, Carrots, preserved with Mixed Tocopherols, Salt, L-Carnitine, Vegetable juice for color, Ferrous Sulfate, Niacin (Vitamin B3), Iron Amino Acid Chelate, Zinc Amino Acid Chelate, Zinc Sulfate, Vitamin E Supplement, Blueberries, Cranberries, Barley Grass, Parsley, Turmeric, Dried Kelp, Yucca Schidigera Extract, Copper Sulfate, Thiamine Mononitrate (Vitamin B1), Copper Amino Acid Chelate, L-Ascorbyl-2-Polyphosphate (source of Vitamin C), Biotin (Vitamin B7), Vitamin A Supplement, Manganese Sulfate, Manganese Amino Acid Chelate, Pyridoxine Hydrochloride (Vitamin B6), Calcium Pantothenate (Vitamin B5), Riboflavin (Vitamin B2), Vitamin D3 Supplement, Vitamin B12 Supplement, Folic Acid (Vitamin B9), Dried Yeast, Dried Enterococcus faecium fermentation product, Dried Lactobacillus acidophilus fermentation product, Dried Aspergillus niger fermentation extract, Dried Trichoderma longibrachiatum fermentation extract, Dried Bacillus subtilis fermentation extract, Calcium Iodate, Sodium Selenite, Oil of Rosemary.</t>
        </is>
      </c>
      <c r="H42" s="12" t="n"/>
      <c r="J42" s="12" t="n">
        <v>2</v>
      </c>
      <c r="K42" s="14" t="inlineStr">
        <is>
          <t>Moderate</t>
        </is>
      </c>
      <c r="L42" s="14" t="inlineStr">
        <is>
          <t>Y</t>
        </is>
      </c>
      <c r="M42" s="12" t="n"/>
      <c r="N42" s="12" t="n"/>
      <c r="O42" s="12" t="n"/>
      <c r="P42" s="20" t="n">
        <v>1</v>
      </c>
      <c r="Q42" s="20" t="n">
        <v>60</v>
      </c>
      <c r="R42" s="23" t="inlineStr">
        <is>
          <t>Low</t>
        </is>
      </c>
    </row>
    <row r="43">
      <c r="A43" s="10" t="inlineStr">
        <is>
          <t>Purina One</t>
        </is>
      </c>
      <c r="B43" s="10" t="inlineStr">
        <is>
          <t>Tender Selects - salmon</t>
        </is>
      </c>
      <c r="C43" s="10" t="n">
        <v>22</v>
      </c>
      <c r="D43" s="10" t="n">
        <v>364</v>
      </c>
      <c r="E43" s="10" t="n">
        <v>34</v>
      </c>
      <c r="F43" s="10" t="inlineStr">
        <is>
          <t>Salmon, Rice Flour, Corn Gluten Meal, Chicken By-Product Meal, Beef Fat Naturally Preserved With Mixed-Tocopherols, Soybean Meal, Whole Grain Corn, Wheat Flour, Liver Flavor, Soy Protein Isolate, Soy Protein Concentrate, Glycerin, Chicken, Calcium Carbonate, Phosphoric Acid, Salt, Potassium Chloride, Caramel Color, L-Lysine Monohydrochloride, Dried Carrots, Dried Peas, Choline Chloride, Sodium Bisulfate, Taurine, Minerals [Zinc Sulfate, Ferrous Sulfate, Manganese Sulfate, Copper Sulfate, Calcium Iodate, Sodium Selenite], Vitamins [Vitamin E Supplement, Niacin (Vitamin B-3), Vitamin A Supplement, Calcium Pantothenate (Vitamin B-5), Thiamine Mononitrate (Vitamin B-1), Riboflavin Supplement (Vitamin B-2), Vitamin B-12 Supplement, Pyridoxine Hydrochloride (Vitamin B-6), Folic Acid (Vitamin B-9), Vitamin D-3 Supplement, Biotin (Vitamin B-7), Menadione Sodium Bisulfite Complex (Vitamin K)], L-Cysteine, Dl-Methionine.</t>
        </is>
      </c>
      <c r="H43" s="12" t="n"/>
      <c r="J43" s="12" t="n">
        <v>2</v>
      </c>
      <c r="K43" s="14" t="inlineStr">
        <is>
          <t>Moderate</t>
        </is>
      </c>
      <c r="L43" s="12" t="n"/>
      <c r="M43" s="12" t="n"/>
      <c r="N43" s="11" t="inlineStr">
        <is>
          <t>Y</t>
        </is>
      </c>
      <c r="O43" s="12" t="n"/>
      <c r="P43" s="20" t="n">
        <v>2</v>
      </c>
      <c r="Q43" s="20" t="n">
        <v>12</v>
      </c>
      <c r="R43" s="23" t="inlineStr">
        <is>
          <t>Low</t>
        </is>
      </c>
    </row>
    <row r="44">
      <c r="A44" s="10" t="inlineStr">
        <is>
          <t>Purina One</t>
        </is>
      </c>
      <c r="B44" s="10" t="inlineStr">
        <is>
          <t>Tender Selects - chicken</t>
        </is>
      </c>
      <c r="C44" s="10" t="n">
        <v>22</v>
      </c>
      <c r="D44" s="10" t="n">
        <v>366</v>
      </c>
      <c r="E44" s="10" t="n">
        <v>34</v>
      </c>
      <c r="F44" s="10" t="inlineStr">
        <is>
          <t>Chicken, Rice Flour, Corn Gluten Meal, Chicken By-Product Meal (Source Of Glucosamine), Beef Fat Naturally Preserved With Mixed-Tocopherols, Soybean Meal, Whole Grain Corn, Wheat Flour, Liver Flavor, Soy Protein Isolate, Soy Protein Concentrate, Glycerin, Phosphoric Acid, Calcium Carbonate, Salt, Potassium Chloride, Caramel Color, Dried Carrots, Dried Peas, Choline Chloride, Sodium Bisulfate, Vitamins [Vitamin E Supplement, Niacin (Vitamin B-3), Vitamin A Supplement, Calcium Pantothenate (Vitamin B-5), Thiamine Mononitrate (Vitamin B-1), Riboflavin Supplement (Vitamin B-2), Vitamin B-12 Supplement, Pyridoxine Hydrochloride (Vitamin B-6), Folic Acid (Vitamin B-9), Vitamin D-3 Supplement, Biotin (Vitamin B-7), Menadione Sodium Bisulfite Complex (Vitamin K)], Taurine, Minerals [Zinc Sulfate, Ferrous Sulfate, Manganese Sulfate, Copper Sulfate, Calcium Iodate, Sodium Selenite], L-Cysteine, L-Lysine Monohydrochloride, Dl-Methionine.</t>
        </is>
      </c>
      <c r="H44" s="11" t="inlineStr">
        <is>
          <t>Y</t>
        </is>
      </c>
      <c r="J44" s="12" t="n">
        <v>2</v>
      </c>
      <c r="K44" s="14" t="inlineStr">
        <is>
          <t>Moderate</t>
        </is>
      </c>
      <c r="L44" s="11" t="n"/>
      <c r="M44" s="11" t="inlineStr">
        <is>
          <t>Y</t>
        </is>
      </c>
      <c r="N44" s="11" t="inlineStr">
        <is>
          <t>Y</t>
        </is>
      </c>
      <c r="O44" s="12" t="n"/>
      <c r="P44" s="20" t="n">
        <v>2</v>
      </c>
      <c r="Q44" s="20" t="n">
        <v>11</v>
      </c>
      <c r="R44" s="23" t="inlineStr">
        <is>
          <t>Low</t>
        </is>
      </c>
    </row>
    <row r="45">
      <c r="A45" s="10" t="inlineStr">
        <is>
          <t xml:space="preserve">Purina Tender Selects Blend Chicken </t>
        </is>
      </c>
      <c r="D45" s="10" t="n">
        <v>366</v>
      </c>
      <c r="E45" s="10" t="n">
        <v>34</v>
      </c>
      <c r="F45" s="10" t="inlineStr">
        <is>
          <t>Chicken, Rice Flour, Corn Gluten Meal, Chicken By-Product Meal (Source Of Glucosamine), Beef Fat Naturally Preserved With Mixed-Tocopherols, Soybean Meal, Whole Grain Corn, Wheat Flour, Liver Flavor, Soy Protein Isolate, Soy Protein Concentrate, Glycerin, Phosphoric Acid, Calcium Carbonate, Salt, Potassium Chloride, Caramel Color, Dried Carrots, Dried Peas, Choline Chloride, Sodium Bisulfate, Vitamins [Vitamin E Supplement, Niacin (Vitamin B-3), Vitamin A Supplement, Calcium Pantothenate (Vitamin B-5), Thiamine Mononitrate (Vitamin B-1), Riboflavin Supplement (Vitamin B-2), Vitamin B-12 Supplement, Pyridoxine Hydrochloride (Vitamin B-6), Folic Acid (Vitamin B-9), Vitamin D-3 Supplement, Biotin (Vitamin B-7), Menadione Sodium Bisulfite Complex (Vitamin K)], Taurine, Minerals [Zinc Sulfate, Ferrous Sulfate, Manganese Sulfate, Copper Sulfate, Calcium Iodate, Sodium Selenite], L-Cysteine, L-Lysine Monohydrochloride, Dl-Methionine.</t>
        </is>
      </c>
      <c r="H45" s="11" t="inlineStr">
        <is>
          <t>Y</t>
        </is>
      </c>
      <c r="J45" s="12" t="n">
        <v>2</v>
      </c>
      <c r="K45" s="14" t="inlineStr">
        <is>
          <t>Moderate</t>
        </is>
      </c>
      <c r="L45" s="11" t="n"/>
      <c r="M45" s="11" t="inlineStr">
        <is>
          <t>Y</t>
        </is>
      </c>
      <c r="N45" s="11" t="inlineStr">
        <is>
          <t>Y</t>
        </is>
      </c>
      <c r="O45" s="12" t="n"/>
      <c r="P45" s="20" t="n">
        <v>2</v>
      </c>
      <c r="Q45" s="20" t="n">
        <v>11</v>
      </c>
      <c r="R45" s="23" t="inlineStr">
        <is>
          <t>Low</t>
        </is>
      </c>
    </row>
    <row r="46">
      <c r="A46" s="10" t="inlineStr">
        <is>
          <t>Purina One +Plus Indoor Advantag</t>
        </is>
      </c>
      <c r="D46" s="10" t="n">
        <v>372</v>
      </c>
      <c r="E46" s="10" t="n">
        <v>37</v>
      </c>
      <c r="F46" s="10" t="inlineStr">
        <is>
          <t>Turkey, Chicken By-Product Meal , Rice, Corn Protein Meal, Soybean Meal, Whole Grain Corn, Soy Protein Isolate, Powdered Cellulose, Dried Yeast, Soybean Hulls, Beef Fat Preserved With Mixed-Tocopherols, Canola Meal, Natural Flavor, Phosphoric Acid, Calcium Carbonate, Salt, Glycerin, Dried Carrots, Dried Spinach, Choline Chloride, Vegetable Juice (Color), Taurine, MINERALS [Zinc Sulfate, Ferrous Sulfate, Manganese Sulfate, Copper Sulfate, Calcium Iodate, Sodium Selenite], Potassium Chloride, L-Lysine Monohydrochloride, VITAMINS [Vitamin E Supplement, Niacin (Vitamin B-3), Vitamin A Supplement, Calcium Pantothenate (Vitamin B-5), Thiamine Mononitrate (Vitamin B-1), Riboflavin Supplement (Vitamin B-2), Vitamin B-12 Supplement, Pyridoxine Hydrochloride (Vitamin B-6), Folic Acid (Vitamin B-9), Vitamin D-3 Supplement, Biotin (Vitamin B-7), Menadione Sodium Bisulfite Complex (Vitamin K)], Vitamin E Supplement.</t>
        </is>
      </c>
      <c r="H46" s="11" t="inlineStr">
        <is>
          <t>Y</t>
        </is>
      </c>
      <c r="J46" s="11" t="n">
        <v>0</v>
      </c>
      <c r="K46" s="11" t="inlineStr">
        <is>
          <t>Excellent</t>
        </is>
      </c>
      <c r="L46" s="11" t="n"/>
      <c r="M46" s="11" t="inlineStr">
        <is>
          <t>Y</t>
        </is>
      </c>
      <c r="N46" s="11" t="inlineStr">
        <is>
          <t>Y</t>
        </is>
      </c>
      <c r="O46" s="12" t="n"/>
      <c r="P46" s="20" t="n">
        <v>1</v>
      </c>
      <c r="Q46" s="20" t="n">
        <v>14</v>
      </c>
      <c r="R46" s="23" t="inlineStr">
        <is>
          <t>Low</t>
        </is>
      </c>
    </row>
    <row r="47">
      <c r="A47" s="10" t="inlineStr">
        <is>
          <t>Indoor Complete Health Grain Free Salmon &amp; Herring</t>
        </is>
      </c>
      <c r="D47" s="10" t="n">
        <v>374</v>
      </c>
      <c r="E47" s="10" t="n">
        <v>34</v>
      </c>
      <c r="F47" s="10" t="inlineStr">
        <is>
          <t>Salmon, Whitefish Meal (source of Glucosamine and Chondroitin Sulfate), Peas, Herring Meal, Chickpeas, Potatoes, Dried Plain Beet Pulp, Canola Oil, Pea Fiber, Flaxseed, Natural Flavor, Calcium Chloride, Choline Chloride, Taurine, Dried Chicory Root, Potassium Chloride, Vitamin E Supplement, Cranberries, L-Carnitine, Mixed Tocopherols added to preserve freshness, Niacin, Zinc Proteinate, Ferrous Sulfate, Zinc Sulfate, Vitamin A Supplement, Iron Proteinate, Dried Kelp, Yucca Schidigera Extract, Vitamin C (Ascorbic Acid), Thiamine Mononitrate, d-Calcium Pantothenate, Sodium Selenite, Pyridoxine Hydrochloride, Copper Sulfate, Manganese Sulfate, Riboflavin, Manganese Proteinate, Vitamin K (Menadione Sodium Bisulfite), Copper Proteinate, Biotin, Vitamin D3 Supplement, Vitamin B12 Supplement, Folic Acid, Calcium Iodate, Dried Enterococcus faecium Fermentation Product, Dried Bacillus licheniformis Fermentation Product, Dried Bacillus subtilis Fermentation Product, Rosemary Extract, Green Tea Extract, Spearmint Extract.</t>
        </is>
      </c>
      <c r="H47" s="12" t="n"/>
      <c r="J47" s="12" t="n">
        <v>10.5</v>
      </c>
      <c r="K47" s="12" t="inlineStr">
        <is>
          <t>Avoid</t>
        </is>
      </c>
      <c r="L47" s="14" t="inlineStr">
        <is>
          <t>Y</t>
        </is>
      </c>
      <c r="M47" s="12" t="n"/>
      <c r="N47" s="12" t="n"/>
      <c r="O47" s="12" t="n"/>
      <c r="P47" s="20" t="n">
        <v>0</v>
      </c>
      <c r="Q47" s="20" t="n">
        <v>80</v>
      </c>
      <c r="R47" s="22" t="inlineStr">
        <is>
          <t>Mod</t>
        </is>
      </c>
    </row>
    <row r="48">
      <c r="A48" s="10" t="inlineStr">
        <is>
          <t>Tiki Cat</t>
        </is>
      </c>
      <c r="B48" s="10" t="inlineStr">
        <is>
          <t>Indoor Health Trout &amp; Menhaden Fish Meal Dry Cat Food</t>
        </is>
      </c>
      <c r="C48" s="10" t="n">
        <v>12</v>
      </c>
      <c r="D48" s="10" t="n">
        <v>379</v>
      </c>
      <c r="E48" s="10" t="n">
        <v>36</v>
      </c>
      <c r="F48" s="10" t="inlineStr">
        <is>
          <t>Trout, Menhaden Fish Meal, Peas, Chicken Meal, Chickpeas, Chicken Fat , Dried Pumpkin, Salt, Rosemary Extract.</t>
        </is>
      </c>
      <c r="G48" s="10" t="inlineStr">
        <is>
          <t>Trout, Menhaden Fish Meal, Peas, Chicken Meal, Chickpeas, Chicken Fat (Preserved With Mixed Tocopherols And Citric Acid), Natural Chicken Flavor, Dried Pumpkin, Salt, Potassium Chloride, Dl Methionine, Choline Chloride, Taurine, Iron Proteinate, Zinc Proteinate, Copper Proteinate, Manganese Proteinate, Vitamin E Supplement, Ferrous Sulfate, Zinc Sulfate, Calcium Carbonate, Zinc Oxide, Copper Sulfate, Manganous Oxide, Sodium Selenite, Calcium Iodate, Cobalt Carbonate, Vitamin A Acetate, Vitamin D3 Supplement, Niacin (Vitamin B3), D-Calcium Pantothenate, Thiamine Mononitrate (Vitamin B1), Riboflavin Supplement (Vitamin B2), Pyridoxine Hydrochloride (Vitamin B6), Folic Acid, Biotin, Vitamin B12 Supplement, Rosemary Extract.</t>
        </is>
      </c>
      <c r="H48" s="12" t="n"/>
      <c r="J48" s="12" t="n">
        <v>4</v>
      </c>
      <c r="K48" s="13" t="inlineStr">
        <is>
          <t>Poor</t>
        </is>
      </c>
      <c r="L48" s="12" t="n"/>
      <c r="M48" s="12" t="n"/>
      <c r="N48" s="12" t="n"/>
      <c r="O48" s="12" t="n"/>
      <c r="P48" s="20" t="n">
        <v>0</v>
      </c>
      <c r="Q48" s="20" t="n">
        <v>80</v>
      </c>
      <c r="R48" s="22" t="inlineStr">
        <is>
          <t>Mod</t>
        </is>
      </c>
    </row>
    <row r="49">
      <c r="A49" s="10" t="inlineStr">
        <is>
          <t xml:space="preserve">iams </t>
        </is>
      </c>
      <c r="B49" s="10" t="inlineStr">
        <is>
          <t>healthy enjoyment - chicken salmon</t>
        </is>
      </c>
      <c r="C49" s="10" t="n">
        <v>15</v>
      </c>
      <c r="D49" s="10" t="n">
        <v>381</v>
      </c>
      <c r="E49" s="10" t="n">
        <v>32</v>
      </c>
      <c r="F49" s="10" t="inlineStr">
        <is>
          <t>Chicken, Chicken By-Product Meal, Ground Whole Grain Corn, Corn Grits, Corn Gluten Meal, Salmon, Dried Plain Beet Pulp, Animal Fat (preserved with Mixed Tocopherols), Wheat Flour, Brewers Rice, Natural Flavor, Dried Meat By-Products, Sodium Bisulfate, Potassium Chloride, Dried Egg Product, Caramel Color, Brewers Dried Yeast, Choline Chloride, Calcium Carbonate, Chicken Fat (preserved with Mixed Tocopherols), Fructooligosaccharides, Fish Oil (preserved with Mixed Tocopherols), DL-Methionine, Taurine, Salt, L-Carnitine, Dried Cheese, Vitamins (Vitamin E Supplement, Niacin Supplement, Ascorbic Acid, Vitamin A Supplement, D-Calcium Pantothenate, Thiamine Mononitrate (Vitamin B1), Biotin, Vitamin B12 Supplement, Pyridoxine Hydrochloride (Vitamin B6), Riboflavin Supplement (Vitamin B2), Vitamin D3 Supplement, Folic Acid), Minerals (Zinc Oxide, Manganese Sulfate, Zinc Sulfate, Ferrous Sulfate, Copper Sulfate, Sodium Selenite, Potassium Iodide), Mixed Tocopherols (preservative), Citric Acid (preservative), Rosemary Extract</t>
        </is>
      </c>
      <c r="H49" s="12" t="n"/>
      <c r="J49" s="12" t="n">
        <v>6.5</v>
      </c>
      <c r="K49" s="12" t="inlineStr">
        <is>
          <t>Avoid</t>
        </is>
      </c>
      <c r="L49" s="12" t="n"/>
      <c r="M49" s="12" t="n"/>
      <c r="N49" s="12" t="n"/>
      <c r="O49" s="12" t="n"/>
      <c r="P49" s="20" t="n">
        <v>1</v>
      </c>
      <c r="Q49" s="20" t="n">
        <v>44</v>
      </c>
      <c r="R49" s="23" t="inlineStr">
        <is>
          <t>Low</t>
        </is>
      </c>
    </row>
    <row r="50">
      <c r="A50" s="10" t="inlineStr">
        <is>
          <t>Hills Science Diet</t>
        </is>
      </c>
      <c r="B50" s="10" t="inlineStr">
        <is>
          <t>c/d multicare urinary - ocean fish</t>
        </is>
      </c>
      <c r="C50" s="10" t="n">
        <v>17.6</v>
      </c>
      <c r="D50" s="10" t="n">
        <v>382</v>
      </c>
      <c r="E50" s="10" t="n">
        <v>30</v>
      </c>
      <c r="F50" s="10" t="inlineStr">
        <is>
          <t>Ocean Fish, Cracked Pearled Barley, Whole Grain Oats, Brewers Rice, Corn Gluten Meal, Wheat Gluten, Chicken Fat, Chicken Meal, Chicken Liver Flavor, Soybean Oil, Lactic Acid, Flaxseed, Calcium Sulfate, Fish Oil, Potassium Chloride, Choline Chloride, L-Lysine, Taurine, Iodized Salt, DL-Methionine, Potassium Citrate, vitamins (Vitamin E Supplement, Niacin Supplement, Thiamine Mononitrate, Pyridoxine Hydrochloride, Calcium Pantothenate, Riboflavin Supplement, Biotin, Vitamin A Supplement, Vitamin B12 Supplement, Folic Acid, Vitamin D3 Supplement), Cysteine, L-Arginine, minerals (Ferrous Sulfate, Zinc Oxide, Copper Sulfate, Manganous Oxide, Calcium Iodate, Sodium Selenite), Mixed Tocopherols for freshness, Natural Flavors, Beta-Carotene.</t>
        </is>
      </c>
      <c r="G50" s="10" t="inlineStr">
        <is>
          <t>dissolves struvite crystals in 6 days</t>
        </is>
      </c>
      <c r="H50" s="12" t="n"/>
      <c r="J50" s="11" t="n">
        <v>0</v>
      </c>
      <c r="K50" s="11" t="inlineStr">
        <is>
          <t>Excellent</t>
        </is>
      </c>
      <c r="L50" s="12" t="n"/>
      <c r="M50" s="12" t="n"/>
      <c r="N50" s="12" t="n"/>
      <c r="O50" s="12" t="n"/>
      <c r="P50" s="20" t="n">
        <v>2</v>
      </c>
      <c r="Q50" s="20" t="n">
        <v>31</v>
      </c>
      <c r="R50" s="23" t="inlineStr">
        <is>
          <t>Low</t>
        </is>
      </c>
    </row>
    <row r="51">
      <c r="A51" s="10" t="inlineStr">
        <is>
          <t xml:space="preserve">iams </t>
        </is>
      </c>
      <c r="B51" s="10" t="inlineStr">
        <is>
          <t>healthy enjoyment - chicken beef</t>
        </is>
      </c>
      <c r="C51" s="10" t="n">
        <v>15</v>
      </c>
      <c r="D51" s="10" t="n">
        <v>383</v>
      </c>
      <c r="E51" s="10" t="n">
        <v>32</v>
      </c>
      <c r="F51" s="10" t="inlineStr">
        <is>
          <t>Chicken, Chicken By-Product Meal, Ground Whole Grain Corn, Corn Grits, Corn Gluten Meal, Beef, Dried Plain Beet Pulp, Animal Fat (preserved with Mixed Tocopherols), Wheat Flour, Brewers Rice, Natural Flavor, Dried Meat By-Products, Sodium Bisulfate, Potassium Chloride, Dried Egg Product, Caramel Color, Brewers Dried Yeast, Choline Chloride, Fish Oil (preserved with Mixed Tocopherols), Chicken Fat (preserved with Mixed Tocopherols), Calcium Carbonate, Fructooligosaccharides, Taurine, Salt, DL-Methionine, L-Carnitine, Dried Cheese, Vitamins (Vitamin E Supplement, Niacin Supplement, Ascorbic Acid, Vitamin A Supplement, D-Calcium Pantothenate, Thiamine Mononitrate (Vitamin B1), Biotin, Vitamin B12 Supplement, Pyridoxine Hydrochloride (Vitamin B6), Riboflavin Supplement (Vitamin B2), Vitamin D3 Supplement, Folic Acid), Minerals (Zinc Oxide, Manganese Sulfate, Zinc Sulfate, Ferrous Sulfate, Copper Sulfate, Sodium Selenite, Potassium Iodide), Mixed Tocopherols (preservative), Citric Acid (preservative), Rosemary Extract</t>
        </is>
      </c>
      <c r="H51" s="12" t="n"/>
      <c r="J51" s="12" t="n">
        <v>6.5</v>
      </c>
      <c r="K51" s="12" t="inlineStr">
        <is>
          <t>Avoid</t>
        </is>
      </c>
      <c r="L51" s="12" t="n"/>
      <c r="M51" s="12" t="n"/>
      <c r="N51" s="12" t="n"/>
      <c r="O51" s="12" t="n"/>
      <c r="P51" s="20" t="n">
        <v>1</v>
      </c>
      <c r="Q51" s="20" t="n">
        <v>44</v>
      </c>
      <c r="R51" s="23" t="inlineStr">
        <is>
          <t>Low</t>
        </is>
      </c>
    </row>
    <row r="52">
      <c r="A52" s="10" t="inlineStr">
        <is>
          <t xml:space="preserve">Solid Gold </t>
        </is>
      </c>
      <c r="B52" s="10" t="inlineStr">
        <is>
          <t>Sensitive Stomach Quail &amp; Pumpkin Grain-Free Dry Cat Food</t>
        </is>
      </c>
      <c r="C52" s="10" t="n">
        <v>6</v>
      </c>
      <c r="D52" s="10" t="n">
        <v>385</v>
      </c>
      <c r="E52" s="10" t="n">
        <v>30</v>
      </c>
      <c r="F52" s="10" t="inlineStr">
        <is>
          <t>Quail, Turkey Meal, Chicken Meal, Peas, Potatoes, Tapioca, Chickpeas, Ocean Fish Meal, Chicken Fat (Preserved with Mixed Tocopherols), Pumpkin, Natural Flavor, Dried Eggs, Carrots, Potassium Chloride, Calcium Sulfate, Choline Chloride, Blueberries, Cranberries, Salmon Oil (Preserved with Mixed Tocopherols), Vitamins (Vitamin E Supplement, L-Ascorbyl-2-Polyphosphate (Source of Vitamin C), Niacin, Calcium Pantothenate, Riboflavin, Pyridoxine Hydrochloride, Thiamine Mononitrate, Vitamin A Supplement, Vitamin B12 Supplement, Vitamin D3 Supplement, Biotin, Folic Acid), Minerals (Zinc Sulfate, Ferrous Sulfate, Copper Sulfate, Manganese Sulfate, Zinc Proteinate, Manganese Proteinate, Copper Proteinate, Sodium Selenite, Calcium Iodate), Taurine, DL-Methionine, Dried Chicory Root, Rosemary Extract, Dried Bacillus Coagulans Fermentation Product.</t>
        </is>
      </c>
      <c r="H52" s="12" t="n"/>
      <c r="J52" s="12" t="n">
        <v>9</v>
      </c>
      <c r="K52" s="12" t="inlineStr">
        <is>
          <t>Avoid</t>
        </is>
      </c>
      <c r="L52" s="14" t="inlineStr">
        <is>
          <t>Y</t>
        </is>
      </c>
      <c r="M52" s="12" t="n"/>
      <c r="N52" s="12" t="n"/>
      <c r="O52" s="12" t="n"/>
      <c r="P52" s="20" t="n">
        <v>0</v>
      </c>
      <c r="Q52" s="20" t="n">
        <v>88</v>
      </c>
      <c r="R52" s="21" t="inlineStr">
        <is>
          <t>High</t>
        </is>
      </c>
    </row>
    <row r="53">
      <c r="A53" s="10" t="inlineStr">
        <is>
          <t>instinct</t>
        </is>
      </c>
      <c r="B53" s="10" t="inlineStr">
        <is>
          <t>Raw Boost Healthy Weight Recipe Grain-Free</t>
        </is>
      </c>
      <c r="C53" s="10" t="n">
        <v>10</v>
      </c>
      <c r="D53" s="10" t="n">
        <v>385</v>
      </c>
      <c r="E53" s="10" t="n">
        <v>37.5</v>
      </c>
      <c r="F53" s="10" t="inlineStr">
        <is>
          <t>Chicken, Chicken Meal, Chickpeas, Salmon Meal, Menhaden Fish Meal, Tapioca, Suncured Alfalfa Meal, Peas, Dried Tomato Pomace, Chicken Fat , Freeze Dried Chicken, Montmorillonite Clay, Freeze Dried Chicken Liver, Pumpkinseeds, Freeze Dried Chicken Heart, Salt, Carrots, Apples, Cranberries, Dried Kelp, Salmon Oil, Blueberries, Dried Bacillus coagulans Fermentation Product, Rosemary Extract</t>
        </is>
      </c>
      <c r="G53" s="10" t="inlineStr">
        <is>
          <t>Chicken, Chicken Meal, Chickpeas, Salmon Meal, Menhaden Fish Meal, Tapioca, Suncured Alfalfa Meal, Peas, Dried Tomato Pomace, Chicken Fat (preserved with Mixed Tocopherols and Citric Acid), Freeze Dried Chicken, Montmorillonite Clay, Natural Flavor, Freeze Dried Chicken Liver, Pumpkinseeds, Freeze Dried Chicken Heart, Potassium Chloride, Salt, Vitamins (Vitamin E Supplement, Niacin Supplement, L-Ascorbyl-2-Polyphosphate, Thiamine Mononitrate, d-Calcium Pantothenate, Vitamin A Supplement, Riboflavin Supplement, Menadione Sodium Bisulfite Complex, Pyridoxine Hydrochloride, Vitamin B12 Supplement, Folic Acid, Vitamin D3 Supplement, Biotin), Carrots, Apples, Cranberries, Choline Chloride, DL-Methionine, L-Carnitine, Minerals (Zinc Proteinate, Iron Proteinate, Copper Proteinate, Manganese Proteinate, Sodium Selenite, Ethylenediamine Dihydriodide), Taurine, Dried Kelp, Salmon Oil, Blueberries, Dried Bacillus coagulans Fermentation Product, Rosemary Extract</t>
        </is>
      </c>
      <c r="H53" s="12" t="n"/>
      <c r="J53" s="12" t="n">
        <v>4</v>
      </c>
      <c r="K53" s="13" t="inlineStr">
        <is>
          <t>Poor</t>
        </is>
      </c>
      <c r="L53" s="14" t="inlineStr">
        <is>
          <t>Y</t>
        </is>
      </c>
      <c r="M53" s="12" t="n"/>
      <c r="N53" s="12" t="n"/>
      <c r="O53" s="12" t="n"/>
      <c r="P53" s="20" t="n">
        <v>0</v>
      </c>
      <c r="Q53" s="20" t="n">
        <v>86</v>
      </c>
      <c r="R53" s="21" t="inlineStr">
        <is>
          <t>High</t>
        </is>
      </c>
    </row>
    <row r="54">
      <c r="A54" s="10" t="inlineStr">
        <is>
          <t xml:space="preserve">iams </t>
        </is>
      </c>
      <c r="B54" s="10" t="inlineStr">
        <is>
          <t>urinary tract health</t>
        </is>
      </c>
      <c r="C54" s="10" t="n">
        <v>22</v>
      </c>
      <c r="D54" s="10" t="n">
        <v>387</v>
      </c>
      <c r="E54" s="10" t="n">
        <v>32</v>
      </c>
      <c r="F54" s="10" t="inlineStr">
        <is>
          <t>Chicken, Chicken By-Product Meal, Ground Whole Grain Corn, Corn Grits, Brewers Rice, Plain Dried Beet Pulp, Sodium Bisulfate, Natural Flavor, Potassium Chloride, Dried Egg Product, Brewers Dried Yeast, Choline Chloride, Fish oil (Preserved with Mixed tocopherols), Minerals (Calcium Carbonate, Zinc Oxide, Manganese Sulfate, Copper Sulfate, Potassium Iodide), DL-Methionine, Fructooligosaccharides, Vitamins (Vitamin E Supplement, Niacin, Ascorbic Acid, Vitamin A Acetate, Calcium Pantothenate, Biotin, Thiamine Mononitrate (Source of Vitamin B1), Pyridoxine Hydrochloride (source of Vitamin B6), Vitamin B12 Supplement, Riboflavin Supplement (Source of Vitamin B2), Inositol, Vitamin D3 Supplement, Folic Acid), Taurine, L-Carnitine, Rosemary Extract.</t>
        </is>
      </c>
      <c r="H54" s="12" t="n"/>
      <c r="J54" s="12" t="n">
        <v>6.5</v>
      </c>
      <c r="K54" s="12" t="inlineStr">
        <is>
          <t>Avoid</t>
        </is>
      </c>
      <c r="L54" s="12" t="n"/>
      <c r="M54" s="12" t="n"/>
      <c r="N54" s="12" t="n"/>
      <c r="O54" s="12" t="n"/>
      <c r="P54" s="20" t="n">
        <v>0</v>
      </c>
      <c r="Q54" s="20" t="n">
        <v>70</v>
      </c>
      <c r="R54" s="22" t="inlineStr">
        <is>
          <t>Mod</t>
        </is>
      </c>
    </row>
    <row r="55">
      <c r="A55" s="10" t="inlineStr">
        <is>
          <t xml:space="preserve">iams </t>
        </is>
      </c>
      <c r="B55" s="10" t="inlineStr">
        <is>
          <t>healthy adult - salmon</t>
        </is>
      </c>
      <c r="C55" s="10">
        <f>16*2</f>
        <v/>
      </c>
      <c r="D55" s="10" t="n">
        <v>387</v>
      </c>
      <c r="E55" s="10" t="n">
        <v>32</v>
      </c>
      <c r="F55" s="10" t="inlineStr">
        <is>
          <t>Salmon, Chicken By-Product Meal, Ground Whole Grain Corn, Ground Whole Grain Sorghum, Corn Grits, Corn Gluten Meal, Chicken Meal, Chicken, Brewers Rice, Dried Plain Beet Pulp, Chicken Fat (Preserved with Mixed Tocopherols), Dried Egg Product, Natural Flavor, Brewers Dried Yeast, Sodium Bisulfate, Potassium Chloride, Choline Chloride, DL-Methionine, Fructooligosaccharides, Vitamins (Vitamin E Supplement, Niacin, Ascorbic Acid, Vitamin A Acetate, Calcium Pantothenate, Biotin, Thiamine Mononitrate (Source of Vitamin B1), Pyridoxine Hydrochloride (Source of Vitamin B6), Vitamin B12 Supplement, Riboflavin Supplement (Source of Vitamin B2), Inositol, Vitamin D3 Supplement, Folic Acid), Taurine, Calcium Carbonate, Minerals (Zinc Oxide, Manganese Sulfate, Copper Sulfate, Potassium Iodide), L-Carnitine, Rosemary Extract.</t>
        </is>
      </c>
      <c r="H55" s="12" t="n"/>
      <c r="J55" s="12" t="n">
        <v>6.5</v>
      </c>
      <c r="K55" s="12" t="inlineStr">
        <is>
          <t>Avoid</t>
        </is>
      </c>
      <c r="L55" s="12" t="n"/>
      <c r="M55" s="12" t="n"/>
      <c r="N55" s="12" t="n"/>
      <c r="O55" s="12" t="n"/>
      <c r="P55" s="20" t="n">
        <v>1</v>
      </c>
      <c r="Q55" s="20" t="n">
        <v>61</v>
      </c>
      <c r="R55" s="23" t="inlineStr">
        <is>
          <t>Low</t>
        </is>
      </c>
    </row>
    <row r="56">
      <c r="A56" s="10" t="inlineStr">
        <is>
          <t>American Journey Indoor Recipe with Chicken Grain-Free Dry Cat Food</t>
        </is>
      </c>
      <c r="D56" s="10" t="n">
        <v>395</v>
      </c>
      <c r="E56" s="10" t="n">
        <v>38</v>
      </c>
      <c r="F56" s="10" t="inlineStr">
        <is>
          <t>Deboned Chicken, Chicken Meal, Turkey Meal, Peas, Pea Protein, Tapioca Starch, Dried Egg Product, Powdered Cellulose, Natural Flavor, Chicken Fat (Preserved with Mixed Tocopherols), Flaxseed, Vitamins (Vitamin E Supplement, Niacin Supplement, Vitamin A Supplement, Thiamine Mononitrate, Calcium Pantothenate, Pyridoxine Hydrochloride, Riboflavin Supplement, Biotin, Vitamin D3 Supplement, Vitamin B12 Supplement, Folic Acid), Pea Fiber, Potassium Chloride, DL-Methionine , Inulin, Choline Chloride, Taurine, Salt, Minerals (Ferrous Sulfate, Zinc Proteinate, Zinc Sulfate, Iron Proteinate, Copper Sulfate, Sodium Selenite, Copper Proteinate, Manganese Sulfate, Manganese Proteinate, Calcium Iodate), Spinach, Apples, Blueberries, Carrots, Cranberries, Pumpkin, Mixed Tocopherols (Preservative), L-Carnitine, Rosemary Extract, Yeast Culture, Dried Enterococcus faecium Fermentation Product, Dried Lactobacillus acidophilus Fermentation Product, Dried Aspergillus oryzae Fermentation Extract, Dried Trichoderma longibrachiatum Fermentation Extract, Dried Bacillus subtilis Fermentation Extract.</t>
        </is>
      </c>
      <c r="H56" s="11" t="inlineStr">
        <is>
          <t>Y</t>
        </is>
      </c>
      <c r="J56" s="12" t="n">
        <v>7</v>
      </c>
      <c r="K56" s="12" t="inlineStr">
        <is>
          <t>Avoid</t>
        </is>
      </c>
      <c r="L56" s="14" t="inlineStr">
        <is>
          <t>Y</t>
        </is>
      </c>
      <c r="M56" s="11" t="inlineStr">
        <is>
          <t>Y</t>
        </is>
      </c>
      <c r="N56" s="12" t="n"/>
      <c r="O56" s="12" t="n"/>
      <c r="P56" s="20" t="n">
        <v>1</v>
      </c>
      <c r="Q56" s="20" t="n">
        <v>70</v>
      </c>
      <c r="R56" s="22" t="inlineStr">
        <is>
          <t>Mod</t>
        </is>
      </c>
    </row>
    <row r="57">
      <c r="A57" s="10" t="inlineStr">
        <is>
          <t>Hills Science Diet</t>
        </is>
      </c>
      <c r="B57" s="10" t="inlineStr">
        <is>
          <t>c/d multicare stress urinary - oceanfish</t>
        </is>
      </c>
      <c r="C57" s="10" t="n">
        <v>17.6</v>
      </c>
      <c r="D57" s="10" t="n">
        <v>397</v>
      </c>
      <c r="E57" s="10" t="n">
        <v>29</v>
      </c>
      <c r="F57" s="10" t="inlineStr">
        <is>
          <t>Ocean Fish, Cracked Pearled Barley, Whole Grain Oats, Brewers Rice, Corn Gluten Meal, Wheat Gluten, Chicken Fat, Chicken Meal, Chicken Liver Flavor, Soybean Oil, Lactic Acid, Flaxseed, Calcium Sulfate, Fish Oil, Potassium Chloride, Choline Chloride, L-Lysine, Taurine, Iodized Salt, DL-Methionine, Potassium Citrate, vitamins (Vitamin E Supplement, Niacin Supplement, Thiamine Mononitrate, Pyridoxine Hydrochloride, Calcium Pantothenate, Riboflavin Supplement, Biotin, Vitamin A Supplement, Vitamin B12 Supplement, Folic Acid, Vitamin D3 Supplement), Cysteine, Dried Hydrolyzed Casein, L-Tryptophan, L-Arginine, minerals (Ferrous Sulfate, Zinc Oxide, Copper Sulfate, Manganous Oxide, Calcium Iodate, Sodium Selenite), Mixed Tocopherols for freshness, Natural Flavors, Beta-Carotene.</t>
        </is>
      </c>
      <c r="G57" s="10" t="inlineStr">
        <is>
          <t>dissolves struvite crystals in 6 days</t>
        </is>
      </c>
      <c r="H57" s="12" t="n"/>
      <c r="J57" s="11" t="n">
        <v>0</v>
      </c>
      <c r="K57" s="11" t="inlineStr">
        <is>
          <t>Excellent</t>
        </is>
      </c>
      <c r="L57" s="12" t="n"/>
      <c r="M57" s="12" t="n"/>
      <c r="N57" s="12" t="n"/>
      <c r="O57" s="12" t="n"/>
      <c r="P57" s="20" t="n">
        <v>2</v>
      </c>
      <c r="Q57" s="20" t="n">
        <v>31</v>
      </c>
      <c r="R57" s="23" t="inlineStr">
        <is>
          <t>Low</t>
        </is>
      </c>
    </row>
    <row r="58">
      <c r="A58" s="10" t="inlineStr">
        <is>
          <t>Merrick Purrfect Bistro Healthy Grains Real Chicken + Brown Rice Recipe Adult Dry Cat Food</t>
        </is>
      </c>
      <c r="D58" s="10" t="n">
        <v>397</v>
      </c>
      <c r="E58" s="10" t="n">
        <v>36</v>
      </c>
      <c r="F58" s="10" t="inlineStr">
        <is>
          <t>Deboned Chicken, Chicken Meal, Turkey Meal, Brown Rice, Barley, Oatmeal, Chicken Fat, Dried Egg Product, Potato Protein, Pea Protein, Natural Flavor, Flaxseed, Chicory Root (source of Inulin), Choline Chloride, Dried Whey Protein Concentrate, Salt, Potassium Chloride, Organic Dehydrated Alfalfa Meal, Taurine, Phosphoric Acid, Minerals (Iron Amino Acid Complex, Zinc Amino Acid Complex, Zinc Sulfate, Sodium Selenite, Manganese Amino Acid Complex, Copper Sulfate, Copper Amino Acid Complex, Potassium Iodide, Cobalt Glucoheptonate, Cobalt Carbonate), Salmon Oil, Yucca Schidigera Extract, Vitamins (Vitamin E Supplement, Niacin, Vitamin B12 Supplement, d-Calcium Pantothenate, Vitamin A Acetate, Riboflavin Supplement, Thiamine Mononitrate, Folic Acid, Biotin, Menadione Sodium Bisulfite Complex, Pyridoxine Hydrochloride, Vitamin D3 Supplement), Mixed Tocopherols for freshness, Dried Bacillus coagulans Fermentation Product, Citric Acid for freshness, Dried Lactobacillus plantarum Fermentation Product, Dried Lactobacillus casei Fermentation Product, Dried Enterococcus faecium Fermentation Product, Dried Lactobacillus acidophilus Fermentation Product.</t>
        </is>
      </c>
      <c r="H58" s="12" t="n"/>
      <c r="J58" s="12" t="n">
        <v>12</v>
      </c>
      <c r="K58" s="12" t="inlineStr">
        <is>
          <t>Avoid</t>
        </is>
      </c>
      <c r="L58" s="14" t="inlineStr">
        <is>
          <t>Y</t>
        </is>
      </c>
      <c r="M58" s="12" t="n"/>
      <c r="N58" s="12" t="n"/>
      <c r="O58" s="12" t="n"/>
      <c r="P58" s="20" t="n">
        <v>2</v>
      </c>
      <c r="Q58" s="20" t="n">
        <v>73</v>
      </c>
      <c r="R58" s="22" t="inlineStr">
        <is>
          <t>Mod</t>
        </is>
      </c>
    </row>
    <row r="59">
      <c r="A59" s="10" t="inlineStr">
        <is>
          <t xml:space="preserve">iams </t>
        </is>
      </c>
      <c r="B59" s="10" t="inlineStr">
        <is>
          <t>healthy adult - chicken</t>
        </is>
      </c>
      <c r="C59" s="10" t="n">
        <v>22</v>
      </c>
      <c r="D59" s="10" t="n">
        <v>399</v>
      </c>
      <c r="E59" s="10" t="n">
        <v>32</v>
      </c>
      <c r="F59" s="10" t="inlineStr">
        <is>
          <t>Chicken, Chicken By-Product Meal, Ground Whole Grain Corn, Corn Grits, Corn Gluten Meal, Dried Plain Beet Pulp, Chicken Fat (preserved with Mixed Tocopherols), Natural Flavor, Dried Egg Product, Sodium Bisulfate, Potassium Chloride, Brewers Dried Yeast, Fish Oil (preserved with Mixed Tocopherols), Calcium Carbonate, Choline Chloride, DL-Methionine, Fructooligosaccharides, Vitamins (Vitamin E Supplement, Niacin, Ascorbic Acid, Vitamin A Acetate, Calcium Pantothenate, Biotin, Thiamine Mononitrate (source of Vitamin B1), Pyridoxine Hydrochloride (Source of Vitamin B6), Vitamin B12 Supplement, Riboflavin Supplement (source of Vitamin B2), Inositol, Vitamin D3 Supplement, Folic Acid), Taurine, Minerals (Zinc Oxide, Manganese Sulfate, Copper Sulfate, Potassium Iodide), L-Carnitine, Rosemary Extract.</t>
        </is>
      </c>
      <c r="H59" s="12" t="n"/>
      <c r="J59" s="12" t="n">
        <v>6.5</v>
      </c>
      <c r="K59" s="12" t="inlineStr">
        <is>
          <t>Avoid</t>
        </is>
      </c>
      <c r="L59" s="12" t="n"/>
      <c r="M59" s="12" t="n"/>
      <c r="N59" s="12" t="n"/>
      <c r="O59" s="12" t="n"/>
      <c r="P59" s="20" t="n">
        <v>1</v>
      </c>
      <c r="Q59" s="20" t="n">
        <v>45</v>
      </c>
      <c r="R59" s="23" t="inlineStr">
        <is>
          <t>Low</t>
        </is>
      </c>
    </row>
    <row r="60">
      <c r="A60" s="10" t="inlineStr">
        <is>
          <t>Purina Beyond</t>
        </is>
      </c>
      <c r="B60" s="10" t="inlineStr">
        <is>
          <t>whitemeat chicken &amp; egg grain free</t>
        </is>
      </c>
      <c r="C60" s="10" t="n">
        <v>16</v>
      </c>
      <c r="D60" s="10" t="n">
        <v>399</v>
      </c>
      <c r="E60" s="10" t="n">
        <v>35</v>
      </c>
      <c r="F60" s="10" t="inlineStr">
        <is>
          <t xml:space="preserve">Chicken, Chicken Meal, Cassava Root Flour, Dried Egg Product, Pea Protein, Dried Yeast, Pea starch, Beef Fat Preserved With Mixed-Tocopherols, Canola Meal, Pea Fiber, Natural Flavor, Dried Beet Pulp, Dried Carrots, Phosphoric Acid, Sodium Bisulfate, Salt, L-Lysine Monohydrochloride, Potassium Chloride, Calcium Carbonate, Dl-Methionine, Choline Chloride, Taurine, MINERALS [Zinc Sulfate, Ferrous Sulfate, Manganese Sulfate, Copper Sulfate, Calcium Iodate, Sodium Selenite], VITAMINS [Vitamin E Supplement, Niacin (Vitamin B-3), Vitamin A Supplement, Calcium Pantothenate (Vitamin B-5), Thiamine Mononitrate (Vitamin B-1), Vitamin B-12 Supplement, Riboflavin Supplement (Vitamin B-2), Pyridoxine Hydrochloride (Vitamin B-6), Folic Acid (Vitamin B-9), Menadione Sodium Bisulfite Complex (Vitamin K), Vitamin D-3 Supplement, Biotin (Vitamin B-7)], Vitamin E Supplement, Dried Bacillus Coagulans Fermentation Product. </t>
        </is>
      </c>
      <c r="H60" s="11" t="inlineStr">
        <is>
          <t>Y</t>
        </is>
      </c>
      <c r="J60" s="12" t="n">
        <v>3.5</v>
      </c>
      <c r="K60" s="13" t="inlineStr">
        <is>
          <t>Poor</t>
        </is>
      </c>
      <c r="L60" s="14" t="inlineStr">
        <is>
          <t>Y</t>
        </is>
      </c>
      <c r="M60" s="11" t="inlineStr">
        <is>
          <t>Y</t>
        </is>
      </c>
      <c r="N60" s="12" t="n"/>
      <c r="O60" s="12" t="n"/>
      <c r="P60" s="20" t="n">
        <v>1</v>
      </c>
      <c r="Q60" s="20" t="n">
        <v>63</v>
      </c>
      <c r="R60" s="23" t="inlineStr">
        <is>
          <t>Low</t>
        </is>
      </c>
    </row>
    <row r="61">
      <c r="A61" s="10" t="inlineStr">
        <is>
          <t>american journey</t>
        </is>
      </c>
      <c r="B61" s="10" t="inlineStr">
        <is>
          <t>indoor chicken &amp; brown rice</t>
        </is>
      </c>
      <c r="C61" s="10" t="n">
        <v>15</v>
      </c>
      <c r="D61" s="10" t="n">
        <v>400</v>
      </c>
      <c r="E61" s="10" t="n">
        <v>32</v>
      </c>
      <c r="F61" s="10" t="inlineStr">
        <is>
          <t>Deboned Chicken, Brown Rice, Barley, Chicken Meal, Turkey Meal, Pea Protein, Dried Egg Product, Chicken Fat (Preserved with Mixed Tocopherols), Powdered Cellulose, Natural Flavor, Peas, Sweet Potatoes, Carrots, Dried Plain Beet Pulp, Vitamins (Vitamin E Supplement, Niacin Supplement, Vitamin A Supplement, Thiamine Mononitrate, Calcium Pantothenate, Pyridoxine Hydrochloride, Riboflavin Supplement, Biotin, Vitamin D3 Supplement, Vitamin B12 Supplement, Folic Acid), Menhaden Fish Oil, Inulin, Salt, Flaxseed, Potassium Chloride, Choline Chloride, Taurine, Minerals (Ferrous Sulfate, Zinc Proteinate, Zinc Sulfate, Iron Proteinate, Copper Sulfate, Sodium Selenite, Copper Proteinate, Manganese Sulfate, Manganese Proteinate, Calcium Iodate), Spinach, Apples, Blueberries, Carrots, Cranberries, Pumpkin, Mixed Tocopherols (Preservative), L-Carnitine, Rosemary Extract.</t>
        </is>
      </c>
      <c r="H61" s="12" t="n"/>
      <c r="J61" s="12" t="n">
        <v>8.5</v>
      </c>
      <c r="K61" s="12" t="inlineStr">
        <is>
          <t>Avoid</t>
        </is>
      </c>
      <c r="L61" s="12" t="n"/>
      <c r="M61" s="12" t="n"/>
      <c r="N61" s="12" t="n"/>
      <c r="O61" s="12" t="n"/>
      <c r="P61" s="20" t="n">
        <v>1</v>
      </c>
      <c r="Q61" s="20" t="n">
        <v>71</v>
      </c>
      <c r="R61" s="22" t="inlineStr">
        <is>
          <t>Mod</t>
        </is>
      </c>
    </row>
    <row r="62">
      <c r="A62" s="10" t="inlineStr">
        <is>
          <t>Purina Beyond</t>
        </is>
      </c>
      <c r="B62" s="10" t="inlineStr">
        <is>
          <t>wild caught whitefish &amp; egg grain free</t>
        </is>
      </c>
      <c r="C62" s="10" t="n">
        <v>11</v>
      </c>
      <c r="D62" s="10" t="n">
        <v>400</v>
      </c>
      <c r="E62" s="10" t="n">
        <v>34</v>
      </c>
      <c r="F62" s="10" t="inlineStr">
        <is>
          <t>Hake, Chicken Meal, Cassava Root Flour, Dried Egg Product, Pea Starch, Dried Yeast, Pea Protein, Beef Fat Preserved With Mixed-Tocopherols, Canola Meal, Pea Fiber, Natural Flavor, Dried Sweet Potatoes, Sunflower Oil, Phosphoric Acid, L-Lysine Monohydrochloride, Calcium Carbonate, Salt, Sodium Bisulfate, Potassium Chloride, Choline Chloride, Taurine, MINERALS [zinc sulfate, ferrous Sulfate, Manganese Sulfate, Copper Sulfate, Calcium Iodate, Sodium Selenite], Dl-Methionine, VITAMINS [Vitamin E Supplement, Niacin (Vitamin B-3), Vitamin A Supplement, Calcium Pantothenate (Vitamin B-5), Thiamine Mononitrate (Vitamin B-1), Vitamin B-12 Supplement, Riboflavin Supplement (Vitamin B-2), Pyridoxine Hydrochloride (Vitamin B-6), Folic Acid (Vitamin B-9), Menadione Sodium Bisulfite Complex (vitamin k), Vitamin D-3 Supplement, Biotin (Vitamin B-7)], Vitamin E Supplement, Dried Bacillus Coagulans Fermentation Product.</t>
        </is>
      </c>
      <c r="H62" s="12" t="n"/>
      <c r="J62" s="12" t="n">
        <v>2</v>
      </c>
      <c r="K62" s="14" t="inlineStr">
        <is>
          <t>Moderate</t>
        </is>
      </c>
      <c r="L62" s="14" t="inlineStr">
        <is>
          <t>Y</t>
        </is>
      </c>
      <c r="M62" s="12" t="n"/>
      <c r="N62" s="11" t="inlineStr">
        <is>
          <t>Y</t>
        </is>
      </c>
      <c r="O62" s="12" t="n"/>
      <c r="P62" s="20" t="n">
        <v>1</v>
      </c>
      <c r="Q62" s="20" t="n">
        <v>66</v>
      </c>
      <c r="R62" s="22" t="inlineStr">
        <is>
          <t>Mod</t>
        </is>
      </c>
    </row>
    <row r="63">
      <c r="A63" s="10" t="inlineStr">
        <is>
          <t>Purina One</t>
        </is>
      </c>
      <c r="B63" s="10" t="inlineStr">
        <is>
          <t>plus ideal weight</t>
        </is>
      </c>
      <c r="C63" s="10" t="n">
        <v>22</v>
      </c>
      <c r="D63" s="10" t="n">
        <v>400</v>
      </c>
      <c r="E63" s="10" t="n">
        <v>42</v>
      </c>
      <c r="F63" s="10" t="inlineStr">
        <is>
          <t>Turkey, Chicken By-product Meal, Corn Gluten Meal, Soy Flour, Rice Flour, Whole Grain Corn, Soy Protein Isolate, Soybean Hulls, Dried Yeast, Cellulose, Beef Fat Preserved With Mixed-tocopherols, Natural Flavor, Phosphoric Acid, Calcium Carbonate, L-lysine Monohydrochloride, Caramel Color, Salt, Dried Carrots, Dried Peas, Choline Chloride, Minerals [Zinc Sulfate, Ferrous Sulfate, Manganese Sulfate, Copper Sulfate, Calcium Iodate, Sodium Selenite], Taurine, Potassium Chloride, Vitamins [Vitamin E Supplement, Niacin (Vitamin B-3), Vitamin A Supplement, Calcium Pantothenate (Vitamin B-5), Thiamine Mononitrate (Vitamin B-1), Riboflavin Supplement (Vitamin B-2), Vitamin B-12 Supplement, Pyridoxine Hydrochloride (Vitamin B-6), Folic Acid (Vitamin B-9), Vitamin D-3 Supplement, Biotin (Vitamin B-7), Menadione Sodium Bisulfite Complex (Vitamin K)], L-carnitine</t>
        </is>
      </c>
      <c r="H63" s="11" t="inlineStr">
        <is>
          <t>Y</t>
        </is>
      </c>
      <c r="J63" s="12" t="n">
        <v>2</v>
      </c>
      <c r="K63" s="14" t="inlineStr">
        <is>
          <t>Moderate</t>
        </is>
      </c>
      <c r="L63" s="11" t="n"/>
      <c r="M63" s="11" t="inlineStr">
        <is>
          <t>Y</t>
        </is>
      </c>
      <c r="N63" s="11" t="inlineStr">
        <is>
          <t>Y</t>
        </is>
      </c>
      <c r="O63" s="12" t="n"/>
      <c r="P63" s="20" t="n">
        <v>2</v>
      </c>
      <c r="Q63" s="20" t="n">
        <v>13</v>
      </c>
      <c r="R63" s="23" t="inlineStr">
        <is>
          <t>Low</t>
        </is>
      </c>
    </row>
    <row r="64">
      <c r="A64" s="10" t="inlineStr">
        <is>
          <t>royal canin</t>
        </is>
      </c>
      <c r="B64" s="10" t="inlineStr">
        <is>
          <t>ragdoll</t>
        </is>
      </c>
      <c r="C64" s="10" t="n">
        <v>7</v>
      </c>
      <c r="D64" s="10" t="n">
        <v>402</v>
      </c>
      <c r="E64" s="10" t="n">
        <v>30</v>
      </c>
      <c r="F64" s="10" t="inlineStr">
        <is>
          <t>Chicken By-Product Meal, Corn, Wheat, Wheat Gluten, Chicken Fat, Brewers Rice, Corn Gluten Meal, Natural Flavors, Dried Chicory Root, Pea Fiber, Rice Hulls, Fish Oil, Vegetable Oil, Calcium Sulfate, Grain Distillers Dried Yeast, Sodium Silico Aluminate, Potassium Chloride, Salt, Psyllium Seed Husk, Vitamins [Dl-Alpha Tocopherol Acetate (Source Of Vitamin E), Inositol, Niacin Supplement, L-Ascorbyl-2-Polyphosphate (Source Of Vitamin C), D-Calcium Pantothenate, Biotin, Pyridoxine Hydrochloride (Vitamin B6), Riboflavin Supplement, Thiamine Mononitrate (Vitamin B1), Vitamin A Acetate, Folic Acid, Vitamin B12 Supplement, Vitamin D3 Supplement], L-Lysine, Sodium Pyrophosphate, Fructooligosaccharides, Choline Chloride, Dl-Methionine, Taurine, Hydrolyzed Yeast, Trace Minerals [Zinc Oxide, Zinc Proteinate, Ferrous Sulfate, Manganous Oxide, Manganese Proteinate, Copper Sulfate, Calcium Iodate, Sodium Selenite, Copper Proteinate], Glucosamine Hydrochloride, Marigold Extract (Tagetes Erecta L.), L-Carnitine, Chondroitin Sulfate, Rosemary Extract, Preserved With Mixed Tocopherols And Citric Acid.</t>
        </is>
      </c>
      <c r="H64" s="12" t="n"/>
      <c r="J64" s="12" t="n">
        <v>12.5</v>
      </c>
      <c r="K64" s="12" t="inlineStr">
        <is>
          <t>Avoid</t>
        </is>
      </c>
      <c r="L64" s="12" t="n"/>
      <c r="M64" s="12" t="n"/>
      <c r="N64" s="12" t="n"/>
      <c r="O64" s="12" t="n"/>
      <c r="P64" s="20" t="n">
        <v>2</v>
      </c>
      <c r="Q64" s="20" t="n">
        <v>11</v>
      </c>
      <c r="R64" s="23" t="inlineStr">
        <is>
          <t>Low</t>
        </is>
      </c>
    </row>
    <row r="65">
      <c r="A65" s="10" t="inlineStr">
        <is>
          <t>Blue buffalo</t>
        </is>
      </c>
      <c r="B65" s="10" t="inlineStr">
        <is>
          <t>GI</t>
        </is>
      </c>
      <c r="C65" s="10" t="n">
        <v>7</v>
      </c>
      <c r="D65" s="10" t="n">
        <v>405</v>
      </c>
      <c r="E65" s="10" t="n">
        <v>36</v>
      </c>
      <c r="F65" s="17" t="inlineStr">
        <is>
          <t xml:space="preserve">Deboned Chicken, Chicken Meal, Tapioca Starch, Peas, Pea Protein, Turkey Meal, Dried Egg Product, Chicken Fat (preserved with Mixed Tocopherols), Flaxseed (source of Omega 3 and 6 Fatty Acids), Pea Fiber, Natural Flavor, Potatoes, Apple Pomace, Pumpkin, Potassium Chloride, DL-Methionine, Cranberries, Choline Chloride, Calcium Sulfate, L-Threonine, Dried Kelp, Dried Chicory Root, Dehydrated Alfalfa Meal, Calcium Chloride, Alfalfa Nutrient Concentrate, Taurine, Calcium Carbonate, Salt, L-Tryptophan, Vitamin E Supplement, Sweet Potatoes, Carrots, preserved with Mixed Tocopherols, Iron Amino Acid Chelate, Zinc Amino Acid Chelate, L-Ascorbyl-2-Polyphosphate (source of Vitamin C), Vegetable Juice for color, Niacin (Vitamin B3), Copper Amino Acid Chelate, Blueberries, Barley Grass, Parsley, Turmeric, Yucca Schidigera Extract, Manganese Amino Acid Chelate, Thiamine Mononitrate (Vitamin B1), L-Lysine, Biotin (Vitamin B7), Vitamin A Supplement, Pyridoxine Hydrochloride (Vitamin B6), Calcium Pantothenate (Vitamin B5), Riboflavin (Vitamin B2), Ferrous Sulfate, Zinc Sulfate, Vitamin D3 Supplement, Vitamin B12 Supplement, Folic Acid (Vitamin B9), Copper Sulfate, Dried Yeast, Dried Enterococcus faecium fermentation product, Dried Lactobacillus acidophilus fermentation product, Dried Aspergillus niger fermentation extract, Dried Trichoderma longibrachiatum fermentation extract, Dried Bacillus subtilis fermentation extract, Manganese Sulfate, Calcium Iodate, Sodium Selenite, Oil of Rosemary.
</t>
        </is>
      </c>
      <c r="H65" s="11" t="inlineStr">
        <is>
          <t>Y</t>
        </is>
      </c>
      <c r="J65" s="12" t="n">
        <v>7</v>
      </c>
      <c r="K65" s="12" t="inlineStr">
        <is>
          <t>Avoid</t>
        </is>
      </c>
      <c r="L65" s="14" t="inlineStr">
        <is>
          <t>Y</t>
        </is>
      </c>
      <c r="M65" s="11" t="inlineStr">
        <is>
          <t>Y</t>
        </is>
      </c>
      <c r="N65" s="12" t="n"/>
      <c r="O65" s="12" t="n"/>
      <c r="P65" s="20" t="n">
        <v>1</v>
      </c>
      <c r="Q65" s="20" t="n">
        <v>65</v>
      </c>
      <c r="R65" s="22" t="inlineStr">
        <is>
          <t>Mod</t>
        </is>
      </c>
    </row>
    <row r="66">
      <c r="A66" s="10" t="inlineStr">
        <is>
          <t>american journey</t>
        </is>
      </c>
      <c r="B66" s="10" t="inlineStr">
        <is>
          <t>sensitive stomach total health chicken &amp; brown rice</t>
        </is>
      </c>
      <c r="C66" s="10" t="n">
        <v>15</v>
      </c>
      <c r="D66" s="10" t="n">
        <v>406</v>
      </c>
      <c r="E66" s="10" t="n">
        <v>32</v>
      </c>
      <c r="F66" s="10" t="inlineStr">
        <is>
          <t>Deboned Chicken, Brown Rice, Barley, Chicken Meal, Turkey Meal, Pea Protein, Chicken Fat (Preserved with Mixed Tocopherols), Dried Egg Product, Pumpkin, Brewers Rice, Natural Flavor, Carrots, Peas, Sweet Potatoes, Vitamins (Vitamin E Supplement, Niacin Supplement, Vitamin A Supplement, Thiamine Mononitrate, Calcium Pantothenate, Pyridoxine Hydrochloride, Riboflavin Supplement, Biotin, Vitamin D3 Supplement, Vitamin B12 Supplement, Folic Acid), Menhaden Fish Oil, Fructooligosaccharides, Pea Fiber, Salt, Potassium Chloride, Choline Chloride, Taurine, Minerals (Ferrous Sulfate, Zinc Proteinate, Zinc Sulfate, Iron Proteinate, Copper Sulfate, Sodium Selenite, Copper Proteinate, Manganese Sulfate, Manganese Proteinate, Calcium Iodate), Spinach, Apples, Blueberries, Cranberries, Mixed Tocopherols (Preservative), L-Carnitine, Rosemary Extract.</t>
        </is>
      </c>
      <c r="H66" s="12" t="n"/>
      <c r="J66" s="12" t="n">
        <v>7</v>
      </c>
      <c r="K66" s="12" t="inlineStr">
        <is>
          <t>Avoid</t>
        </is>
      </c>
      <c r="L66" s="12" t="n"/>
      <c r="M66" s="12" t="n"/>
      <c r="N66" s="12" t="n"/>
      <c r="O66" s="12" t="n"/>
      <c r="P66" s="20" t="n">
        <v>1</v>
      </c>
      <c r="Q66" s="20" t="n">
        <v>71</v>
      </c>
      <c r="R66" s="22" t="inlineStr">
        <is>
          <t>Mod</t>
        </is>
      </c>
    </row>
    <row r="67">
      <c r="A67" s="10" t="inlineStr">
        <is>
          <t>merrick</t>
        </is>
      </c>
      <c r="B67" s="10" t="inlineStr">
        <is>
          <t>Grain- Free Sensitive Stomach</t>
        </is>
      </c>
      <c r="C67" s="10" t="n">
        <v>12</v>
      </c>
      <c r="D67" s="10" t="n">
        <v>406</v>
      </c>
      <c r="E67" s="10" t="n">
        <v>34</v>
      </c>
      <c r="F67" s="10" t="inlineStr">
        <is>
          <t>Deboned Chicken, Chicken Meal, Turkey Meal, Sweet Potatoes, Potatoes, Dried Egg Product, Peas, Pea Protein, Chicken Fat (preserved with mixed tocopherols), Tapioca, Natural Flavor, Ground Flaxseed, Inulin (from chicory root), Phosphoric Acid, Dried Whey Protein Concentrate, Choline Chloride, Salt, Organic Dried Alfalfa Meal, Sunflower Oil, Salmon Oil, Taurine, Minerals (Iron Amino Acid Complex, Zinc Amino Acid Complex, Zinc Sulfate, Sodium Selenite, Manganese Amino Acid Complex, Copper Amino Acid Complex, Copper Sulfate, Potassium Iodide, Cobalt Proteinate, Cobalt Carbonate), Yucca Schidigera Extract, Vitamins (Vitamin E Supplement, Vitamin B12 Supplement, d-Calcium Pantothenate, Vitamin A Acetate, Thiamine Mononitrate, Niacin, Pyridoxine Hydrochloride, Riboflavin Supplement, Biotin, Vitamin D3 Supplement, Folic Acid), Dried Bacillus coagulans Fermentation Product, Dried Lactobacillus plantarum Fermentation Product, Dried Lactobacillus casei Fermentation Product, Dried Enterococcus faecium Fermentation Product, Dried Lactobacillus acidophilus Fermentation Product.</t>
        </is>
      </c>
      <c r="H67" s="12" t="n"/>
      <c r="J67" s="12" t="n">
        <v>12</v>
      </c>
      <c r="K67" s="12" t="inlineStr">
        <is>
          <t>Avoid</t>
        </is>
      </c>
      <c r="L67" s="14" t="inlineStr">
        <is>
          <t>Y</t>
        </is>
      </c>
      <c r="M67" s="12" t="n"/>
      <c r="N67" s="12" t="n"/>
      <c r="O67" s="12" t="n"/>
      <c r="P67" s="20" t="n">
        <v>1</v>
      </c>
      <c r="Q67" s="20" t="n">
        <v>78</v>
      </c>
      <c r="R67" s="22" t="inlineStr">
        <is>
          <t>Mod</t>
        </is>
      </c>
    </row>
    <row r="68">
      <c r="A68" s="10" t="inlineStr">
        <is>
          <t>american journey</t>
        </is>
      </c>
      <c r="B68" s="10" t="inlineStr">
        <is>
          <t>sensitive stomach total health salmon &amp; brown rice</t>
        </is>
      </c>
      <c r="C68" s="10" t="n">
        <v>15</v>
      </c>
      <c r="D68" s="10" t="n">
        <v>407</v>
      </c>
      <c r="E68" s="10" t="n">
        <v>32</v>
      </c>
      <c r="F68" s="10" t="inlineStr">
        <is>
          <t>Deboned Salmon, Menhaden Fish Meal, Brown Rice, Barley, Chicken Meal, Dried Egg Product, Chicken Fat (Preserved with Mixed Tocopherols), Brewers Rice, Pumpkin, Natural Flavor, Carrots, Peas, Sweet Potatoes, Vitamins (Vitamin E Supplement, Niacin Supplement, Vitamin A Supplement, Thiamine Mononitrate, Calcium Pantothenate, Pyridoxine Hydrochloride, Riboflavin Supplement, Biotin, Vitamin D3 Supplement, Vitamin B12 Supplement, Folic Acid), Fructooligosaccharides, Pea Fiber, Salt, Potassium Chloride, Choline Chloride, Taurine, Minerals (Ferrous Sulfate, Zinc Proteinate, Zinc Sulfate, Iron Proteinate, Copper Sulfate, Sodium Selenite, Copper Proteinate, Manganese Sulfate, Manganese Proteinate, Calcium Iodate), Spinach, Apples, Blueberries, Cranberries, Mixed Tocopherols (Preservative), L-Carnitine, Rosemary Extract.</t>
        </is>
      </c>
      <c r="H68" s="12" t="n"/>
      <c r="J68" s="12" t="n">
        <v>7</v>
      </c>
      <c r="K68" s="12" t="inlineStr">
        <is>
          <t>Avoid</t>
        </is>
      </c>
      <c r="L68" s="12" t="n"/>
      <c r="M68" s="12" t="n"/>
      <c r="N68" s="12" t="n"/>
      <c r="O68" s="12" t="n"/>
      <c r="P68" s="20" t="n">
        <v>0</v>
      </c>
      <c r="Q68" s="20" t="n">
        <v>95</v>
      </c>
      <c r="R68" s="21" t="inlineStr">
        <is>
          <t>High</t>
        </is>
      </c>
    </row>
    <row r="69">
      <c r="A69" s="10" t="inlineStr">
        <is>
          <t>Hills Science Diet</t>
        </is>
      </c>
      <c r="B69" s="10" t="inlineStr">
        <is>
          <t>z/d</t>
        </is>
      </c>
      <c r="C69" s="10" t="n">
        <v>8.5</v>
      </c>
      <c r="D69" s="10" t="n">
        <v>408</v>
      </c>
      <c r="E69" s="10" t="n">
        <v>29</v>
      </c>
      <c r="F69" s="10" t="inlineStr">
        <is>
          <t>Brewers Rice, Hydrolyzed Chicken Liver, Rice Protein Concentrate, Powdered Cellulose, Soybean Oil, Coconut Oil, Chicken Liver Flavor, Calcium Carbonate, Lactic Acid, Potassium Chloride, Calcium Sulfate, Glyceryl Monostearate, Dicalcium Phosphate, L-Threonine, Dl-Methionine, L-Lysine, Choline Chloride, Vitamins (Vitamin E Supplement, L-Ascorbyl-2-Polyphosphate (Source Of Vitamin C), Niacin Supplement, Thiamine Mononitrate, Calcium Pantothenate, Vitamin A Supplement, Pyridoxine Hydrochloride, Biotin, Riboflavin Supplement, Vitamin B12 Supplement, Folic Acid, Vitamin D3 Supplement), Taurine, Iodized Salt, Potassium Citrate, L-Tryptophan, Minerals (Ferrous Sulfate, Zinc Oxide, Copper Sulfate, Manganous Oxide, Calcium Iodate, Sodium Selenite), Mixed Tocopherols For Freshness, Natural Flavors, Beta-Carotene.</t>
        </is>
      </c>
      <c r="G69" s="10" t="inlineStr">
        <is>
          <t>hydrolyzed</t>
        </is>
      </c>
      <c r="H69" s="11" t="inlineStr">
        <is>
          <t>Y</t>
        </is>
      </c>
      <c r="J69" s="11" t="n">
        <v>0</v>
      </c>
      <c r="K69" s="11" t="inlineStr">
        <is>
          <t>Excellent</t>
        </is>
      </c>
      <c r="L69" s="11" t="n"/>
      <c r="M69" s="11" t="inlineStr">
        <is>
          <t>Y</t>
        </is>
      </c>
      <c r="N69" s="12" t="n"/>
      <c r="O69" s="12" t="n"/>
      <c r="P69" s="20" t="n">
        <v>1</v>
      </c>
      <c r="Q69" s="20" t="n">
        <v>58</v>
      </c>
      <c r="R69" s="23" t="inlineStr">
        <is>
          <t>Low</t>
        </is>
      </c>
    </row>
    <row r="70">
      <c r="A70" s="10" t="inlineStr">
        <is>
          <t>Fussie Cat Market Fresh Chicken &amp; Turkey Recipe Grain-Free Dry Cat Food</t>
        </is>
      </c>
      <c r="D70" s="10" t="n">
        <v>410</v>
      </c>
      <c r="E70" s="10" t="n">
        <v>36</v>
      </c>
      <c r="F70" s="10" t="inlineStr">
        <is>
          <t>Chicken, Chicken Meal, Peas, Turkey Meal, Pea Flour, Chickpeas, Chicken Fat (Preserved with Mixed Tocopherols and Citric Acid), Natural Flavors, Flax Seeds, Dicalcium Phosphate, Alfalfa Meal, Fructooligosaccharide, Minerals (Iron Proteinate, Zinc Proteinate, Copper Proteinate, Manganese Proteinate, Cobalt Proteinate), Potassium Chloride, Choline Chloride, Dl Methionine, Vitamins (Vitamin A Acetate, Vitamin D3 Supplement, Vitamin E Supplement, Niacin, D-Calcium Pantothenate, Thiamine Mononitrate, Riboflavin Supplement, Pyridoxine Hydrochloride, Folic Acid, Biotin, Vitamin B12 Supplement), Taurine, Blueberries, Cranberries, Lactic Acid, Kelp Meal, Calcium Iodate, Sodium Selenite, Rosemary Extract.</t>
        </is>
      </c>
      <c r="H70" s="11" t="inlineStr">
        <is>
          <t>Y</t>
        </is>
      </c>
      <c r="J70" s="12" t="n">
        <v>9</v>
      </c>
      <c r="K70" s="12" t="inlineStr">
        <is>
          <t>Avoid</t>
        </is>
      </c>
      <c r="L70" s="12" t="n"/>
      <c r="M70" s="11" t="inlineStr">
        <is>
          <t>Y</t>
        </is>
      </c>
      <c r="N70" s="12" t="n"/>
      <c r="O70" s="12" t="n"/>
      <c r="P70" s="20" t="n">
        <v>1</v>
      </c>
      <c r="Q70" s="20" t="n">
        <v>72</v>
      </c>
      <c r="R70" s="22" t="inlineStr">
        <is>
          <t>Mod</t>
        </is>
      </c>
    </row>
    <row r="71">
      <c r="A71" s="10" t="inlineStr">
        <is>
          <t>Merrick Purrfect Bistro Grain-Free Real Chicken + Sweet Potato Recipe Adult Dry Cat Food</t>
        </is>
      </c>
      <c r="D71" s="10" t="n">
        <v>410</v>
      </c>
      <c r="E71" s="10" t="n">
        <v>38</v>
      </c>
      <c r="F71" s="10" t="inlineStr">
        <is>
          <t>Deboned Chicken, Chicken Meal, Turkey Meal, Sweet Potatoes, Peas, Potatoes, Pea Protein, Chicken Fat (preserved with mixed tocopherols), Dried Egg Product, Potato Protein, Natural Flavor, Tapioca, Ground Flaxseed, Phosphoric Acid, Inulin (from chicory root), Dried Whey Protein Concentrate, Salmon Oil, Choline Chloride, Salt, Organic Dried Alfalfa Meal, Taurine, Minerals((Iron Amino Acid Complex, Zinc Amino Acid Complex, Zinc Sulfate, Sodium Selenite, Manganese Amino Acid Complex, Copper Amino Acid Complex, Copper Sulfate, Potassium Iodide, Cobalt Proteinate, Cobalt Carbonate), Yucca Schidigera Extract, Vitamins(Vitamin E Supplement, Vitamin B12 Supplement, d-Calcium Pantothenate, Vitamin A Acetate, Thiamine Mononitrate, Niacin, Pyridoxine Hydrochloride, Riboflavin Supplement, Biotin, Vitamin D3 Supplement, Folic Acid), Dried Bacillus coagulans Fermentation Product, Dried Lactobacillus plantarum Fermentation Product, Dried Lactobacillus casei Fermentation Product, Dried Enterococcus faecium Fermentation Product, Dried Lactobacillus acidophilus Fermentation Product.</t>
        </is>
      </c>
      <c r="H71" s="12" t="n"/>
      <c r="J71" s="12" t="n">
        <v>12</v>
      </c>
      <c r="K71" s="12" t="inlineStr">
        <is>
          <t>Avoid</t>
        </is>
      </c>
      <c r="L71" s="14" t="inlineStr">
        <is>
          <t>Y</t>
        </is>
      </c>
      <c r="M71" s="12" t="n"/>
      <c r="N71" s="12" t="n"/>
      <c r="O71" s="12" t="n"/>
      <c r="P71" s="20" t="n">
        <v>2</v>
      </c>
      <c r="Q71" s="20" t="n">
        <v>68</v>
      </c>
      <c r="R71" s="22" t="inlineStr">
        <is>
          <t>Mod</t>
        </is>
      </c>
    </row>
    <row r="72">
      <c r="A72" s="10" t="inlineStr">
        <is>
          <t>7+ Purina One</t>
        </is>
      </c>
      <c r="B72" s="10" t="inlineStr">
        <is>
          <t>Indoor advantage</t>
        </is>
      </c>
      <c r="C72" s="10" t="n">
        <v>16</v>
      </c>
      <c r="D72" s="10" t="n">
        <v>413</v>
      </c>
      <c r="E72" s="10" t="n">
        <v>36</v>
      </c>
      <c r="F72" s="10" t="inlineStr">
        <is>
          <t>Chicken, Chicken By-product Meal, Rice, Corn Gluten Meal, Soybean Meal, Beef Fat Preserved With Mixed-tocopherols, Whole Grain Corn, Powdered Cellulose, Soybean Hulls, Natural Flavor, Soy Protein Concentrate, Phosphoric Acid, Calcium Carbonate, Caramel Color, Salt, Choline Chloride, Dried Carrots, Dried Peas, Vitamin E Supplement, L-lysine Monohydrochloride, Potassium Chloride, Taurine, Minerals [Zinc Sulfate, Ferrous Sulfate, Manganese Sulfate, Copper Sulfate, Calcium Iodate, Sodium Selenite], Vitamins [Vitamin E Supplement, Niacin (Vitamin B-3), Vitamin A Supplement, Calcium Pantothenate (Vitamin B-5), Thiamine Mononitrate (Vitamin B-1), Riboflavin Supplement (Vitamin B-2), Vitamin B-12 Supplement, Pyridoxine Hydrochloride (Vitamin B-6), Folic Acid (Vitamin B-9), Vitamin D-3 Supplement, Biotin (Vitamin B-7), Menadione Sodium Bisulfite Complex (Vitamin K)].</t>
        </is>
      </c>
      <c r="H72" s="11" t="inlineStr">
        <is>
          <t>Y</t>
        </is>
      </c>
      <c r="J72" s="12" t="n">
        <v>2</v>
      </c>
      <c r="K72" s="14" t="inlineStr">
        <is>
          <t>Moderate</t>
        </is>
      </c>
      <c r="L72" s="11" t="n"/>
      <c r="M72" s="11" t="inlineStr">
        <is>
          <t>Y</t>
        </is>
      </c>
      <c r="N72" s="11" t="inlineStr">
        <is>
          <t>Y</t>
        </is>
      </c>
      <c r="O72" s="12" t="n"/>
      <c r="P72" s="20" t="n">
        <v>2</v>
      </c>
      <c r="Q72" s="20" t="n">
        <v>16</v>
      </c>
      <c r="R72" s="23" t="inlineStr">
        <is>
          <t>Low</t>
        </is>
      </c>
    </row>
    <row r="73">
      <c r="A73" s="10" t="inlineStr">
        <is>
          <t>blue buffalo</t>
        </is>
      </c>
      <c r="B73" s="10" t="inlineStr">
        <is>
          <t>NP Alligator</t>
        </is>
      </c>
      <c r="C73" s="10" t="n">
        <v>7</v>
      </c>
      <c r="D73" s="10" t="n">
        <v>414</v>
      </c>
      <c r="E73" s="10" t="n">
        <v>30</v>
      </c>
      <c r="F73" s="10" t="inlineStr">
        <is>
          <t>Deboned Alligator, Alligator Meal, Pea Protein, Pea Starch, Peas, Tapioca Starch, Canola Oil (source of Omega 6 Fatty Acids), Flaxseed (source of Omega 3 Fatty Acids), Natural Flavor, Pea Fiber, Fish Oil (source of DHA Docosahexaenoic Acid), DL-Methionine, Choline Chloride, Salt, Potassium Chloride, Potassium Sulfate, L-Threonine, Taurine, Pumpkin, Dried Kelp, Dried Chicory Root, Dehydrated Alfalfa Meal, Calcium Sulfate, Calcium Carbonate, Vitamin E Supplement, preserved with Mixed Tocopherols, L-Tryptophan, Iron Amino Acid Chelate, Zinc Amino Acid Chelate, L-Ascorbyl-2-Polyphosphate (source of Vitamin C), Niacin (Vitamin B3), Copper Amino Acid Chelate, Manganese Amino Acid Chelate, Thiamine Mononitrate (Vitamin B1), Biotin (Vitamin B7), Vitamin A Supplement, Pyridoxine Hydrochloride (Vitamin B6), Calcium Pantothenate (Vitamin B5), Riboflavin (Vitamin B2), Vitamin D3 Supplement, Vitamin B12 Supplement, Folic Acid (Vitamin B9), Dried Yeast, Dried Enterococcus faecium fermentation product, Dried Lactobacillus acidophilus fermentation product, Dried Aspergillus niger fermentation extract, Dried Trichoderma longibrachiatum fermentation extract, Dried Bacillus subtilis fermentation extract, Calcium Iodate, Sodium Selenite, Oil of Rosemary.</t>
        </is>
      </c>
      <c r="H73" s="12" t="n"/>
      <c r="J73" s="12" t="n">
        <v>7</v>
      </c>
      <c r="K73" s="12" t="inlineStr">
        <is>
          <t>Avoid</t>
        </is>
      </c>
      <c r="L73" s="14" t="inlineStr">
        <is>
          <t>Y</t>
        </is>
      </c>
      <c r="M73" s="12" t="n"/>
      <c r="N73" s="12" t="n"/>
      <c r="O73" s="12" t="n"/>
      <c r="P73" s="20" t="n">
        <v>1</v>
      </c>
      <c r="Q73" s="20" t="n">
        <v>0</v>
      </c>
      <c r="R73" s="23" t="inlineStr">
        <is>
          <t>Low</t>
        </is>
      </c>
    </row>
    <row r="74">
      <c r="A74" s="10" t="inlineStr">
        <is>
          <t>Fussie Cat Market Fresh Quail &amp; Duck Meal Recipe Grain-Free Dry Cat Food</t>
        </is>
      </c>
      <c r="D74" s="10" t="n">
        <v>415</v>
      </c>
      <c r="E74" s="10" t="n">
        <v>33</v>
      </c>
      <c r="F74" s="10" t="inlineStr">
        <is>
          <t>Quail, Duck Meal, Peas, Pea Flour, Sunflower Oil, Duck Fat, Duck, Natural Flavors, Calcium Carbonate, Choline Chloride, Salt, Alfalfa Meal, Fructooligosaccharides, Taurine, Cranberries, Blueberries, Dried Kelp, Vitamins (Vitamin E Supplement, Thiamine Mononitrate, Niacin Supplement, d-Calcium Pantothenate, Biotin, Vitamin A Supplement, Riboflavin Supplement, Vitamin B12 Supplement, Pyridoxine Hydrochloride, Vitamin D3 Supplement, Folic Acid), Minerals (Zinc Proteinate, Iron Proteinate, Copper Proteinate, Manganese Proteinate, Sodium Selenite, Calcium Iodate), Mixed Tocopherols (Preservative).</t>
        </is>
      </c>
      <c r="H74" s="11" t="inlineStr">
        <is>
          <t>Y</t>
        </is>
      </c>
      <c r="J74" s="12" t="n">
        <v>7</v>
      </c>
      <c r="K74" s="12" t="inlineStr">
        <is>
          <t>Avoid</t>
        </is>
      </c>
      <c r="L74" s="12" t="n"/>
      <c r="M74" s="11" t="inlineStr">
        <is>
          <t>Y</t>
        </is>
      </c>
      <c r="N74" s="12" t="n"/>
      <c r="O74" s="12" t="n"/>
      <c r="P74" s="20" t="n">
        <v>1</v>
      </c>
      <c r="Q74" s="20" t="n">
        <v>68</v>
      </c>
      <c r="R74" s="22" t="inlineStr">
        <is>
          <t>Mod</t>
        </is>
      </c>
    </row>
    <row r="75">
      <c r="A75" s="10" t="inlineStr">
        <is>
          <t>Fussie Cat Market Fresh Guinea Fowl &amp; Turkey Meal Recipe Grain-Free Dry Cat Food</t>
        </is>
      </c>
      <c r="D75" s="10" t="n">
        <v>415</v>
      </c>
      <c r="E75" s="10" t="n">
        <v>33</v>
      </c>
      <c r="F75" s="10" t="inlineStr">
        <is>
          <t>Guinea Fowl, Turkey Meal, Peas, Pea Flour, Turkey Fat, Turkey, Natural Flavors, Alfalfa Meal, Calcium Carbonate, Dicalcium Phosphate, Fructooligosaccharides, Choline Chloride, Taurine, Salt, Dried Kelp, Cranberries, Blueberries, Vitamins (Vitamin E Supplement, Thiamine Mononitrate, Niacin Supplement, d-Calcium Pantothenate, Biotin, Vitamin A Supplement, Riboflavin Supplement, Vitamin B12 Supplement, Pyridoxine Hydrochloride, Vitamin D3 Supplement Folic Acid), Minerals (Zinc Proteinate, Iron Proteinate, Copper Proteinate, Manganese Proteinate, Sodium Selenite, Calcium Iodate), Mixed Tocopherols (Preservative).</t>
        </is>
      </c>
      <c r="H75" s="11" t="inlineStr">
        <is>
          <t>Y</t>
        </is>
      </c>
      <c r="J75" s="12" t="n">
        <v>7</v>
      </c>
      <c r="K75" s="12" t="inlineStr">
        <is>
          <t>Avoid</t>
        </is>
      </c>
      <c r="L75" s="12" t="n"/>
      <c r="M75" s="11" t="inlineStr">
        <is>
          <t>Y</t>
        </is>
      </c>
      <c r="N75" s="12" t="n"/>
      <c r="O75" s="12" t="n"/>
      <c r="P75" s="20" t="n">
        <v>1</v>
      </c>
      <c r="Q75" s="20" t="n">
        <v>64</v>
      </c>
      <c r="R75" s="23" t="inlineStr">
        <is>
          <t>Low</t>
        </is>
      </c>
    </row>
    <row r="76">
      <c r="A76" s="10" t="inlineStr">
        <is>
          <t>Hills Science Diet</t>
        </is>
      </c>
      <c r="B76" s="10" t="inlineStr">
        <is>
          <t>Biome stress</t>
        </is>
      </c>
      <c r="C76" s="10" t="n">
        <v>8.5</v>
      </c>
      <c r="D76" s="10" t="n">
        <v>421</v>
      </c>
      <c r="E76" s="10" t="n">
        <v>37.3</v>
      </c>
      <c r="F76" s="10" t="inlineStr">
        <is>
          <t>Chicken, Brewers Rice, Corn Protein Meal, Chicken Fat, Wheat Gluten, Pea Protein, Whole Grain Corn, Chicken Meal, Whole Grain Oats, Ground Pecan Shells, Cracked Pearled Barley, Dried Beet Pulp, Chicken Liver Flavor, Flaxseed, Psyllium Seed Husk, Dried Citrus Pulp, Fish Oil, Lactic Acid, L-Lysine, Pumpkin, Pressed Cranberries, Fructooligosaccharides (FOS), Potassium Chloride, DL-Methionine, Choline Chloride, Taurine, Iodized Salt, vitamins (Vitamin E Supplement, L-Ascorbyl-2-Polyphosphate (source of Vitamin C), Niacin Supplement, Thiamine Mononitrate, Vitamin A Supplement, Calcium Pantothenate, Riboflavin Supplement, Biotin, Vitamin B12 Supplement, Pyridoxine Hydrochloride, Folic Acid, Vitamin D3 Supplement), Dried Hydrolyzed Casein, Calcium Sulfate, L-Tryptophan, minerals (Ferrous Sulfate, Zinc Oxide, Copper Sulfate, Manganous Oxide, Calcium Iodate, Sodium Selenite), Mixed Tocopherols for freshness, Natural Flavors, Beta-Carotene</t>
        </is>
      </c>
      <c r="G76" s="10" t="inlineStr">
        <is>
          <t>stress, fiber, s+ox</t>
        </is>
      </c>
      <c r="H76" s="12" t="n"/>
      <c r="J76" s="12" t="n">
        <v>8.5</v>
      </c>
      <c r="K76" s="12" t="inlineStr">
        <is>
          <t>Avoid</t>
        </is>
      </c>
      <c r="L76" s="12" t="n"/>
      <c r="M76" s="12" t="n"/>
      <c r="N76" s="12" t="n"/>
      <c r="O76" s="12" t="n"/>
      <c r="P76" s="20" t="n">
        <v>2</v>
      </c>
      <c r="Q76" s="20" t="n">
        <v>34</v>
      </c>
      <c r="R76" s="23" t="inlineStr">
        <is>
          <t>Low</t>
        </is>
      </c>
    </row>
    <row r="77">
      <c r="A77" s="10" t="inlineStr">
        <is>
          <t>Purina Beyond</t>
        </is>
      </c>
      <c r="B77" s="10" t="inlineStr">
        <is>
          <t>whitemeat chicken &amp; oat meal</t>
        </is>
      </c>
      <c r="C77" s="10" t="n">
        <v>13</v>
      </c>
      <c r="D77" s="10" t="n">
        <v>425</v>
      </c>
      <c r="E77" s="10" t="n">
        <v>33</v>
      </c>
      <c r="F77" s="10" t="inlineStr">
        <is>
          <t>Chicken, Chicken Meal, Whole Barley, Rice, Whole Oat Meal, Dried Egg Product, Pea Protein, Beef Fat Preserved With Mixed-Tocopherols, Dried Yeast, Pea Fiber, Natural Flavor, Phosphoric Acid, Calcium Carbonate, L-Lysine Monohydrochloride, Salt, Sodium Bisulfate, Potassium Chloride, Dried Carrots, Dried Apples, Taurine, MINERALS [zinc sulfate, ferrous sulfate, manganese sulfate, copper sulfate, calcium iodate, Sodium Selenite], choline chloride, VITAMINS [Vitamin E Supplement, Niacin (Vitamin B-3), Vitamin A Supplement, Calcium Pantothenate (Vitamin B-5), Thiamine Mononitrate (Vitamin B-1), Vitamin B-12 Supplement, Riboflavin Supplement (Vitamin B-2), Pyridoxine Hydrochloride (Vitamin B-6), Folic Acid (Vitamin B-9), Menadione Sodium Bisulfite Complex (Vitamin K), Vitamin D-3 Supplement, Biotin (Vitamin B-7)], Vitamin E Supplement, Dried Bacillus Coagulans Fermentation Product.</t>
        </is>
      </c>
      <c r="H77" s="11" t="inlineStr">
        <is>
          <t>Y</t>
        </is>
      </c>
      <c r="J77" s="12" t="n">
        <v>2</v>
      </c>
      <c r="K77" s="14" t="inlineStr">
        <is>
          <t>Moderate</t>
        </is>
      </c>
      <c r="L77" s="14" t="inlineStr">
        <is>
          <t>Y</t>
        </is>
      </c>
      <c r="M77" s="11" t="inlineStr">
        <is>
          <t>Y</t>
        </is>
      </c>
      <c r="N77" s="11" t="inlineStr">
        <is>
          <t>Y</t>
        </is>
      </c>
      <c r="O77" s="12" t="n"/>
      <c r="P77" s="20" t="n">
        <v>1</v>
      </c>
      <c r="Q77" s="20" t="n">
        <v>66</v>
      </c>
      <c r="R77" s="22" t="inlineStr">
        <is>
          <t>Mod</t>
        </is>
      </c>
    </row>
    <row r="78">
      <c r="A78" s="10" t="inlineStr">
        <is>
          <t>Purina Beyond</t>
        </is>
      </c>
      <c r="B78" s="10" t="inlineStr">
        <is>
          <t>salmon &amp; brown rice</t>
        </is>
      </c>
      <c r="C78" s="10" t="n">
        <v>6</v>
      </c>
      <c r="D78" s="10" t="n">
        <v>428</v>
      </c>
      <c r="E78" s="10" t="n">
        <v>33</v>
      </c>
      <c r="F78" s="10" t="inlineStr">
        <is>
          <t>Salmon, Chicken Meal, Whole Barley, Rice, Pea Protein, Dried Egg Product, Whole Brown Rice, Dried Yeast, Beef Fat Preserved With Mixed-Tocopherols, Pea Fiber, Natural Flavor, Phosphoric Acid, Sodium Bisulfate, L-Lysine Monohydrochloride, Potassium Chloride, Whole Cranberries, Salt, Calcium Carbonate, Dried Spinach, Taurine, VITAMINS [Vitamin E Supplement, Niacin (Vitamin B-3), Vitamin A Supplement, Calcium Pantothenate (Vitamin B-5), Thiamine Mononitrate (Vitamin B-1), Vitamin B-12 Supplement, Riboflavin Supplement (Vitamin B-2), Pyridoxine Hydrochloride (Vitamin B-6), Folic Acid (Vitamin B-9), Menadione Sodium Bisulfite Complex (Vitamin K), Vitamin D-3 Supplement, Biotin (Vitamin B-7)], Choline Chloride, MINERALS [Zinc Sulfate, Ferrous Sulfate, Manganese Sulfate, Copper Sulfate, Calcium Iodate, Sodium Selenite], Dried Bacillus Coagulans Fermentation Product.</t>
        </is>
      </c>
      <c r="H78" s="12" t="n"/>
      <c r="J78" s="12" t="n">
        <v>2</v>
      </c>
      <c r="K78" s="14" t="inlineStr">
        <is>
          <t>Moderate</t>
        </is>
      </c>
      <c r="L78" s="14" t="inlineStr">
        <is>
          <t>Y</t>
        </is>
      </c>
      <c r="M78" s="12" t="n"/>
      <c r="N78" s="11" t="inlineStr">
        <is>
          <t>Y</t>
        </is>
      </c>
      <c r="O78" s="12" t="n"/>
      <c r="P78" s="20" t="n">
        <v>1</v>
      </c>
      <c r="Q78" s="20" t="n">
        <v>62</v>
      </c>
      <c r="R78" s="23" t="inlineStr">
        <is>
          <t>Low</t>
        </is>
      </c>
    </row>
    <row r="79">
      <c r="A79" s="10" t="inlineStr">
        <is>
          <t xml:space="preserve">Purina One Sensitive Skin and Stomach </t>
        </is>
      </c>
      <c r="D79" s="10" t="n">
        <v>429</v>
      </c>
      <c r="E79" s="10" t="n">
        <v>34</v>
      </c>
      <c r="F79" s="10" t="inlineStr">
        <is>
          <t>Turkey, Chicken By-Product Meal, Rice, Corn Protein Meal, Soybean Meal, Oat Meal, Whole Grain Corn, Beef Fat Preserved With Mixed-Tocopherols, Dried Egg Product, Natural Flavor, Dried Chicory Root, Soybean Oil, Phosphoric Acid, Calcium Carbonate, Salt, Glycerin, Dried Carrots, Dried Peas, Vegetable Juice (Color), Choline Chloride, Potassium Chloride, Vitamin E Supplement, MINERALS [Zinc Sulfate, Ferrous Sulfate, Manganese Sulfate, Copper Sulfate, Calcium Iodate, Sodium Selenite], Taurine, L-Lysine Monohydrochloride, VITAMINS [Vitamin E Supplement, Niacin (Vitamin B-3), Vitamin A Supplement, Calcium Pantothenate (Vitamin B-5), Thiamine Mononitrate (Vitamin B-1), Riboflavin Supplement (Vitamin B-2), Vitamin B-12 Supplement, Pyridoxine Hydrochloride (Vitamin B-6), Folic Acid (Vitamin B-9), Vitamin D-3 Supplement, Biotin (Vitamin B-7), Menadione Sodium Bisulfite Complex (Vitamin K)].</t>
        </is>
      </c>
      <c r="H79" s="11" t="inlineStr">
        <is>
          <t>Y</t>
        </is>
      </c>
      <c r="J79" s="12" t="n">
        <v>7</v>
      </c>
      <c r="K79" s="12" t="inlineStr">
        <is>
          <t>Avoid</t>
        </is>
      </c>
      <c r="L79" s="11" t="n"/>
      <c r="M79" s="11" t="inlineStr">
        <is>
          <t>Y</t>
        </is>
      </c>
      <c r="N79" s="12" t="n"/>
      <c r="O79" s="12" t="n"/>
      <c r="P79" s="20" t="n">
        <v>0</v>
      </c>
      <c r="Q79" s="20" t="n">
        <v>43</v>
      </c>
      <c r="R79" s="23" t="inlineStr">
        <is>
          <t>Low</t>
        </is>
      </c>
    </row>
    <row r="80">
      <c r="A80" s="10" t="inlineStr">
        <is>
          <t>royal canin</t>
        </is>
      </c>
      <c r="B80" s="10" t="inlineStr">
        <is>
          <t>hair &amp; skin</t>
        </is>
      </c>
      <c r="C80" s="10" t="n">
        <v>6</v>
      </c>
      <c r="D80" s="10" t="n">
        <v>430</v>
      </c>
      <c r="E80" s="10" t="n">
        <v>31</v>
      </c>
      <c r="F80" s="10" t="inlineStr">
        <is>
          <t>Chicken By-Product Meal, Chicken Fat, Corn, Wheat Gluten, Brewers Rice, Natural Flavors, Pea Fiber, Wheat, Corn Gluten Meal, Vegetable Oil, Dried Plain Beet Pulp, Fish Oil, Calcium Sulfate, Sodium Pyrophosphate, Potassium Chloride, Choline Chloride, Rice Flour, Taurine, Salt, Dl-Methionine, Vitamins[Dl-Alpha Tocopherol Acetate (Source Of Vitamin E), Niacin Supplement, L-Ascorbyl-2-Polyphosphate (Source Of Vitamin C), D-Calcium Pantothenate, Biotin, Pyridoxine Hydrochloride (Vitamin B6), Riboflavin Supplement, Thiamine Mononitrate (Vitamin B1), Vitamin A Acetate, Vitamin B12 Supplement, Folic Acid, Vitamin D3 Supplement], L-Cystine, Gla Safflower Oil, Trace Minerals[Zinc Proteinate, Zinc Oxide, Ferrous Sulfate, Manganese Proteinate, Manganous Oxide, Copper Sulfate, Sodium Selenite, Calcium Iodate, Copper Proteinate], Marigold Extract (Tagetes Erecta L.), Rosemary Extract, Preserved With Mixed Tocopherols And Citric Acid.</t>
        </is>
      </c>
      <c r="H80" s="12" t="n"/>
      <c r="J80" s="12" t="n">
        <v>3</v>
      </c>
      <c r="K80" s="14" t="inlineStr">
        <is>
          <t>Moderate</t>
        </is>
      </c>
      <c r="L80" s="12" t="n"/>
      <c r="M80" s="12" t="n"/>
      <c r="N80" s="12" t="n"/>
      <c r="O80" s="12" t="n"/>
      <c r="P80" s="20" t="n">
        <v>2</v>
      </c>
      <c r="Q80" s="20" t="n">
        <v>17</v>
      </c>
      <c r="R80" s="23" t="inlineStr">
        <is>
          <t>Low</t>
        </is>
      </c>
    </row>
    <row r="81">
      <c r="A81" s="10" t="inlineStr">
        <is>
          <t>blue buffalo</t>
        </is>
      </c>
      <c r="B81" s="10" t="inlineStr">
        <is>
          <t>Natural Veterinary Diet HF Hydrolyzed for Food Intolerance Grain-Free Dry Cat Food</t>
        </is>
      </c>
      <c r="C81" s="10" t="n">
        <v>7</v>
      </c>
      <c r="D81" s="10" t="n">
        <v>430</v>
      </c>
      <c r="E81" s="10" t="n">
        <v>30</v>
      </c>
      <c r="F81" s="10" t="inlineStr">
        <is>
          <t>Salmon Hydrolysate, Peas, Potatoes, Pea Starch, Canola Oil (source of Omega 6 Fatty Acids), Pea Protein, Flaxseed, Pea Fiber, Natural Flavor, Dicalcium Phosphate, Calcium Sulfate, Fish Oil (source of Omega 3 Fatty Acids), Choline Chloride, Calcium Carbonate, DL-Methionine, Pumpkin, Dried Kelp, Calcium Chloride, Salt, Dried Chicory Root, Taurine, Potassium Sulfate, L-Threonine, Vitamin E Supplement, preserved with Mixed Tocopherols, L-Tryptophan, Potassium Chloride, L-Carnitine, L-Ascorbyl-2-Polyphosphate (source of Vitamin C), Iron Amino Acid Chelate, Zinc Amino Acid Chelate, Niacin (Vitamin B3), Copper Amino Acid Chelate, Manganese Amino Acid Chelate, Thiamine Mononitrate (Vitamin B1), Biotin (Vitamin B7), Vitamin A Supplement, Pyridoxine Hydrochloride (Vitamin B6), Calcium Pantothenate (Vitamin B5), Riboflavin (Vitamin B2), Vitamin D3 Supplement, Vitamin B12 Supplement, Folic Acid (Vitamin B9), Dried Yeast, Dried Enterococcus faecium fermentation product, Dried Lactobacillus acidophilus fermentation product, Dried Aspergillus niger fermentation extract, Dried Trichoderma longibrachiatum fermentation extract, Dried Bacillus subtilis fermentation extract, Calcium Iodate, Sodium Selenite, Oil of Rosemary.</t>
        </is>
      </c>
      <c r="H81" s="12" t="n"/>
      <c r="J81" s="12" t="n">
        <v>7</v>
      </c>
      <c r="K81" s="12" t="inlineStr">
        <is>
          <t>Avoid</t>
        </is>
      </c>
      <c r="L81" s="14" t="inlineStr">
        <is>
          <t>Y</t>
        </is>
      </c>
      <c r="M81" s="12" t="n"/>
      <c r="N81" s="12" t="n"/>
      <c r="O81" s="12" t="n"/>
      <c r="P81" s="20" t="n">
        <v>1</v>
      </c>
      <c r="Q81" s="20" t="n">
        <v>11</v>
      </c>
      <c r="R81" s="23" t="inlineStr">
        <is>
          <t>Low</t>
        </is>
      </c>
    </row>
    <row r="82">
      <c r="A82" s="10" t="inlineStr">
        <is>
          <t>Purina Pro Plan</t>
        </is>
      </c>
      <c r="B82" s="10" t="inlineStr">
        <is>
          <t>Weight</t>
        </is>
      </c>
      <c r="C82" s="10" t="n">
        <v>16</v>
      </c>
      <c r="D82" s="10" t="n">
        <v>437</v>
      </c>
      <c r="E82" s="10" t="n">
        <v>43</v>
      </c>
      <c r="F82" s="10" t="inlineStr">
        <is>
          <t>Chicken, Rice, Corn Gluten Meal, Poultry By-product Meal, Soy Protein Concentrate, Wheat Flour, Beef Fat Preserved With Mixed-tocopherols, Fish Meal, Soy Protein Isolate, Soybean Meal, Natural Flavor, Dried Yeast, Chicory Root Inulin, Phosphoric Acid, Salt, L-lysine Monohydrochloride, Potassium Chloride, Calcium Carbonate, Choline Chloride, Vitamins [Vitamin E Supplement, Niacin (Vitamin B-3), Vitamin A Supplement, Calcium Pantothenate (Vitamin B-5), Thiamine Mononitrate (Vitamin B-1), Riboflavin Supplement (Vitamin B-2), Vitamin B-12 Supplement, Pyridoxine Hydrochloride (Vitamin B-6), Folic Acid (Vitamin B-9), Vitamin D-3 Supplement, Biotin (Vitamin B-7), Menadione Sodium Bisulfite Complex (Vitamin K)], Taurine, Minerals [Zinc Sulfate, Ferrous Sulfate, Manganese Sulfate, Copper Sulfate, Calcium Iodate, Sodium Selenite], Dried Bacillus Coagulans Fermentation Product.</t>
        </is>
      </c>
      <c r="H82" s="12" t="n"/>
      <c r="J82" s="12" t="n">
        <v>10</v>
      </c>
      <c r="K82" s="12" t="inlineStr">
        <is>
          <t>Avoid</t>
        </is>
      </c>
      <c r="L82" s="14" t="inlineStr">
        <is>
          <t>Y</t>
        </is>
      </c>
      <c r="M82" s="12" t="n"/>
      <c r="N82" s="12" t="n"/>
      <c r="O82" s="12" t="n"/>
      <c r="P82" s="20" t="n">
        <v>2</v>
      </c>
      <c r="Q82" s="20" t="n">
        <v>23</v>
      </c>
      <c r="R82" s="23" t="inlineStr">
        <is>
          <t>Low</t>
        </is>
      </c>
    </row>
    <row r="83">
      <c r="A83" s="10" t="inlineStr">
        <is>
          <t>7+ Hills Science Diet</t>
        </is>
      </c>
      <c r="B83" s="10" t="inlineStr">
        <is>
          <t>senior vitality</t>
        </is>
      </c>
      <c r="C83" s="10" t="n">
        <v>13</v>
      </c>
      <c r="D83" s="10" t="n">
        <v>439</v>
      </c>
      <c r="E83" s="10" t="n">
        <v>30</v>
      </c>
      <c r="F83" s="10" t="inlineStr">
        <is>
          <t>Chicken, Brown Rice, Corn Gluten Meal, Whole Grain Oats, Pea Protein, Chicken Fat, Chicken Liver Flavor, Lactic Acid, Soybean Oil, Dried Tomato Pomace, Calcium Sulfate, Fish Oil, Choline Chloride, DL-Methionine, Iodized Salt, Taurine, Broccoli, vitamins (Vitamin E Supplement, L-Ascorbyl-2-Polyphosphate (source of Vitamin C), Niacin Supplement, Thiamine Mononitrate, Vitamin A Supplement, Calcium Pantothenate, Riboflavin Supplement, Biotin, Vitamin B12 Supplement, Pyridoxine Hydrochloride, Folic Acid, Vitamin D3 Supplement), Potassium Chloride, minerals (Ferrous Sulfate, Zinc Oxide, Copper Sulfate, Manganous Oxide, Calcium Iodate, Sodium Selenite), L-Carnitine, Calcium Carbonate, Natural Flavors, Mixed Tocopherols for freshness, Beta-Carotene.</t>
        </is>
      </c>
      <c r="H83" s="12" t="n"/>
      <c r="J83" s="12" t="n">
        <v>2</v>
      </c>
      <c r="K83" s="14" t="inlineStr">
        <is>
          <t>Moderate</t>
        </is>
      </c>
      <c r="L83" s="12" t="n"/>
      <c r="M83" s="12" t="n"/>
      <c r="N83" s="12" t="n"/>
      <c r="O83" s="12" t="n"/>
      <c r="P83" s="20" t="n">
        <v>2</v>
      </c>
      <c r="Q83" s="20" t="n">
        <v>14</v>
      </c>
      <c r="R83" s="23" t="inlineStr">
        <is>
          <t>Low</t>
        </is>
      </c>
    </row>
    <row r="84">
      <c r="A84" s="10" t="inlineStr">
        <is>
          <t xml:space="preserve">iams </t>
        </is>
      </c>
      <c r="B84" s="10" t="inlineStr">
        <is>
          <t>high protein</t>
        </is>
      </c>
      <c r="C84" s="10" t="n">
        <v>13</v>
      </c>
      <c r="D84" s="10" t="n">
        <v>439</v>
      </c>
      <c r="E84" s="10" t="n">
        <v>38</v>
      </c>
      <c r="F84" s="10" t="inlineStr">
        <is>
          <t>Chicken, Chicken Byproduct Meal, Corn Grits, Ground Whole Grain Corn, Salmon, Chicken Meal (source of Glucosamine and Chondroitin Sulfate), Dried Plain Beet Pulp, Natural Flavor, Sodium Bisulfate, Caramel Color, Brewers Dried Yeast, Dried Egg Product, Potassium Chloride, Salt, Choline Chloride, Fructooligosaccharides, Calcium Carbonate, Taurine, Vitamins (Vitamin E Supplement, Niacin, Ascorbic Acid, Vitamin A Acetate, Calcium Pantothenate, Biotin, Thiamine Mononitrate (source of vitamin B1), Pyridoxine Hydrochloride (source of vitamin B6), Vitamin B12 Supplement, Riboflavin Supplement (source of vitamin B2), Vitamin D3 Supplement, Folic Acid), Minerals (Zinc Oxide, Manganese Sulfate, Copper Sulfate, Potassium Iodide), L-Carnitine.</t>
        </is>
      </c>
      <c r="H84" s="12" t="n"/>
      <c r="J84" s="12" t="n">
        <v>6.5</v>
      </c>
      <c r="K84" s="12" t="inlineStr">
        <is>
          <t>Avoid</t>
        </is>
      </c>
      <c r="L84" s="12" t="n"/>
      <c r="M84" s="12" t="n"/>
      <c r="N84" s="12" t="n"/>
      <c r="O84" s="12" t="n"/>
      <c r="P84" s="20" t="n">
        <v>0</v>
      </c>
      <c r="Q84" s="20" t="n">
        <v>82</v>
      </c>
      <c r="R84" s="22" t="inlineStr">
        <is>
          <t>Mod</t>
        </is>
      </c>
    </row>
    <row r="85">
      <c r="A85" s="10" t="inlineStr">
        <is>
          <t>Purina One</t>
        </is>
      </c>
      <c r="B85" s="10" t="inlineStr">
        <is>
          <t>plus hairball</t>
        </is>
      </c>
      <c r="C85" s="10" t="n">
        <v>22</v>
      </c>
      <c r="D85" s="10" t="n">
        <v>445</v>
      </c>
      <c r="E85" s="10" t="n">
        <v>34</v>
      </c>
      <c r="F85" s="10" t="inlineStr">
        <is>
          <t xml:space="preserve">Chicken, Corn Gluten Meal, Chicken By-product Meal (Source Of Glucosamine), Rice Flour, Soybean Meal, Beef Fat Preserved With Mixed-tocopherols, Whole Grain Corn, Powdered Cellulose, Soybean Hulls, Liver Flavor, Chicken Meal (Source Of Glucosamine), Phosphoric Acid, Calcium Carbonate, Salt, Caramel Color, Dried Carrots, Dried Peas, Choline Chloride, Potassium Chloride, Taurine, Minerals [Zinc Sulfate, Ferrous Sulfate, Manganese Sulfate, Copper Sulfate, Calcium Iodate, Sodium Selenite], Vitamins [Vitamin E Supplement, Niacin (Vitamin B-3), Vitamin A Supplement, Calcium Pantothenate (Vitamin B-5), Thiamine Mononitrate (Vitamin B-1), Riboflavin Supplement (Vitamin B-2), Vitamin B-12 Supplement, Pyridoxine Hydrochloride (Vitamin B-6), Folic Acid (Vitamin B-9), Vitamin D-3 Supplement, Biotin (Vitamin B-7), Menadione Sodium Bisulfite Complex (Vitamin K)], Vitamin E Supplement. </t>
        </is>
      </c>
      <c r="H85" s="11" t="inlineStr">
        <is>
          <t>Y</t>
        </is>
      </c>
      <c r="J85" s="12" t="n">
        <v>2</v>
      </c>
      <c r="K85" s="14" t="inlineStr">
        <is>
          <t>Moderate</t>
        </is>
      </c>
      <c r="L85" s="11" t="n"/>
      <c r="M85" s="11" t="inlineStr">
        <is>
          <t>Y</t>
        </is>
      </c>
      <c r="N85" s="12" t="n"/>
      <c r="O85" s="12" t="n"/>
      <c r="P85" s="20" t="n">
        <v>1</v>
      </c>
      <c r="Q85" s="20" t="n">
        <v>26</v>
      </c>
      <c r="R85" s="23" t="inlineStr">
        <is>
          <t>Low</t>
        </is>
      </c>
    </row>
    <row r="86">
      <c r="A86" s="10" t="inlineStr">
        <is>
          <t>Purina One</t>
        </is>
      </c>
      <c r="B86" s="10" t="inlineStr">
        <is>
          <t>plus sensitive skin &amp; stomach</t>
        </is>
      </c>
      <c r="C86" s="10" t="n">
        <v>22</v>
      </c>
      <c r="D86" s="10" t="n">
        <v>449</v>
      </c>
      <c r="E86" s="10" t="n">
        <v>34</v>
      </c>
      <c r="F86" s="10" t="inlineStr">
        <is>
          <t>Turkey, Chicken By-Product Meal, Rice Flour, Corn Gluten Meal, Soybean Meal, Oat Meal, Whole Grain Corn, Beef Fat Naturally Preserved With Vitamin E, Essential Nutrients And Other Ingredients: Minerals (Phosphoric Acid, Calcium Carbonate, Salt, Potassium Chloride, Zinc Sulfate, Ferrous Sulfate, Manganese Sulfate, Copper Sulfate, Calcium Iodate, Sodium Selenite), Dried Egg Product, Liver Flavor, Soybean Oil, Caramel Color, Vitamins (Choline, Vitamin E, Vitamin B-3, Vitamin A, Vitamin B-5, Vitamin B-1, Vitamin B-2, Vitamin B-12, Vitamin B-6, Folic Acid, Vitamin D-3, Vitamin B-7, Vitamin K), Dried Carrots, Dried Peas, Taurine, Amino Acids (L-Lysine Monohydrochloride).</t>
        </is>
      </c>
      <c r="H86" s="11" t="inlineStr">
        <is>
          <t>Y</t>
        </is>
      </c>
      <c r="J86" s="12" t="n">
        <v>2</v>
      </c>
      <c r="K86" s="14" t="inlineStr">
        <is>
          <t>Moderate</t>
        </is>
      </c>
      <c r="L86" s="11" t="n"/>
      <c r="M86" s="11" t="inlineStr">
        <is>
          <t>Y</t>
        </is>
      </c>
      <c r="N86" s="12" t="n"/>
      <c r="O86" s="12" t="n"/>
      <c r="P86" s="20" t="n">
        <v>1</v>
      </c>
      <c r="Q86" s="20" t="n">
        <v>26</v>
      </c>
      <c r="R86" s="23" t="inlineStr">
        <is>
          <t>Low</t>
        </is>
      </c>
    </row>
    <row r="87">
      <c r="A87" s="10" t="inlineStr">
        <is>
          <t>Purina One</t>
        </is>
      </c>
      <c r="B87" s="10" t="inlineStr">
        <is>
          <t>plus urinary</t>
        </is>
      </c>
      <c r="C87" s="10" t="n">
        <v>22</v>
      </c>
      <c r="D87" s="10" t="n">
        <v>452</v>
      </c>
      <c r="E87" s="10" t="n">
        <v>31</v>
      </c>
      <c r="F87" s="10" t="inlineStr">
        <is>
          <t xml:space="preserve">Corn Gluten Meal, Ground Yellow Corn, Chicken, Brewers Rice, Wheat Flour, Animal Fat Preserved With Mixed-Tocopherols, Dried Egg Product, Phosphoric Acid, Calcium Carbonate, Potassium Chloride, Animal Digest, Sodium Caseinate, L-Lysine Monohydrochloride, Dried Whey, Choline Chloride, Defluorinated Phosphate, Salt, Taurine, Zinc Sulfate, Ferrous Sulfate, Vitamin E Supplement, Niacin, Manganese Sulfate, Citric Acid, Vitamin A Supplement, Calcium Pantothenate, Thiamine Mononitrate, Copper Sulfate, Riboflavin Supplement, Vitamin B-12 Supplement, Pyridoxine Hydrochloride, Folic Acid, Vitamin D-3 Supplement, Calcium Iodate, Biotin, Menadione Sodium Bisulfite Complex (Source Of Vitamin K Activity), Sodium Selenite. </t>
        </is>
      </c>
      <c r="H87" s="11" t="inlineStr">
        <is>
          <t>Y</t>
        </is>
      </c>
      <c r="J87" s="11" t="n">
        <v>0</v>
      </c>
      <c r="K87" s="11" t="inlineStr">
        <is>
          <t>Excellent</t>
        </is>
      </c>
      <c r="L87" s="11" t="n"/>
      <c r="M87" s="11" t="inlineStr">
        <is>
          <t>Y</t>
        </is>
      </c>
      <c r="N87" s="12" t="n"/>
      <c r="O87" s="12" t="n"/>
      <c r="P87" s="20" t="n">
        <v>1</v>
      </c>
      <c r="Q87" s="20" t="n">
        <v>37</v>
      </c>
      <c r="R87" s="23" t="inlineStr">
        <is>
          <t>Low</t>
        </is>
      </c>
    </row>
    <row r="88">
      <c r="A88" s="10" t="inlineStr">
        <is>
          <t xml:space="preserve">Instinct </t>
        </is>
      </c>
      <c r="B88" s="10" t="inlineStr">
        <is>
          <t xml:space="preserve">Limited Ingredient Diet Real Rabbit Recipe Grain-Free </t>
        </is>
      </c>
      <c r="C88" s="10" t="n">
        <v>10</v>
      </c>
      <c r="D88" s="10" t="n">
        <v>457</v>
      </c>
      <c r="E88" s="10" t="n">
        <v>40.5</v>
      </c>
      <c r="F88" s="10" t="inlineStr">
        <is>
          <t>Rabbit Meal, Peas, Tapioca, Canola Oil (preserved with Mixed Tocopherols and Citric Acid), Rabbit, Natural Flavor, Coconut Oil, Montmorillonite Clay, Taurine, Choline Chloride, Potassium Chloride, Vitamins (Vitamin E Supplement, L-Ascorbyl-2-Polyphosphate, Niacin Supplement, Thiamine Mononitrate, d-Calcium Pantothenate, Vitamin A Supplement, Riboflavin Supplement, Pyridoxine Hydrochloride, Vitamin B12 Supplement, Folic Acid, Vitamin D3 Supplement, Biotin), DL-Methionine, Minerals (Zinc Proteinate, Iron Proteinate, Copper Proteinate, Manganese Proteinate, Sodium Selenite, Ethylenediamine Dihydriodide), Freeze Dried Rabbit, Salt, Pumpkinseeds, Rosemary Extract.</t>
        </is>
      </c>
      <c r="H88" s="11" t="inlineStr">
        <is>
          <t>Y</t>
        </is>
      </c>
      <c r="J88" s="12" t="n">
        <v>2</v>
      </c>
      <c r="K88" s="14" t="inlineStr">
        <is>
          <t>Moderate</t>
        </is>
      </c>
      <c r="L88" s="12" t="n"/>
      <c r="M88" s="12" t="n"/>
      <c r="N88" s="12" t="n"/>
      <c r="O88" s="12" t="n"/>
      <c r="P88" s="20" t="n">
        <v>0</v>
      </c>
      <c r="Q88" s="20" t="n">
        <v>81</v>
      </c>
      <c r="R88" s="22" t="inlineStr">
        <is>
          <t>Mod</t>
        </is>
      </c>
    </row>
    <row r="89">
      <c r="A89" s="10" t="inlineStr">
        <is>
          <t>Instinct Limited Ingredient Diet Grain-Free Recipe with Real Turkey Freeze-Dried Raw Coated Dry Cat Food</t>
        </is>
      </c>
      <c r="D89" s="10" t="n">
        <v>463</v>
      </c>
      <c r="E89" s="10" t="n">
        <v>35.5</v>
      </c>
      <c r="F89" s="10" t="inlineStr">
        <is>
          <t>Turkey Meal, Peas, Turkey, Tapioca, Canola Oil (preserved with Mixed Tocopherols and Citric Acid), Natural Flavor, Coconut Oil, Salt, Montmorillonite Clay, Choline Chloride, Vitamins (Vitamin E Supplement, L-Ascorbyl-2-Polyphosphate, Niacin Supplement, Thiamine Mononitrate, d-Calcium Pantothenate, Vitamin A Supplement, Riboflavin Supplement, Pyridoxine Hydrochloride, Vitamin B12 Supplement, Folic Acid, Vitamin D3 Supplement, Biotin), Potassium Chloride, Minerals (Zinc Proteinate, Iron Proteinate, Copper Proteinate, Manganese Proteinate, Sodium Selenite, Ethylenediamine Dihydriodide), Taurine, DL-Methionine, Freeze Dried Turkey, Freeze Dried Turkey Liver, Pumpkinseeds, Freeze Dried Turkey Heart, Rosemary Extract.</t>
        </is>
      </c>
      <c r="G89" s="10" t="inlineStr">
        <is>
          <t>Try next Evie - fish free</t>
        </is>
      </c>
      <c r="H89" s="11" t="inlineStr">
        <is>
          <t>Y</t>
        </is>
      </c>
      <c r="J89" s="12" t="n">
        <v>2</v>
      </c>
      <c r="K89" s="14" t="inlineStr">
        <is>
          <t>Moderate</t>
        </is>
      </c>
      <c r="L89" s="11" t="n"/>
      <c r="M89" s="11" t="inlineStr">
        <is>
          <t>Y</t>
        </is>
      </c>
      <c r="N89" s="12" t="n"/>
      <c r="O89" s="12" t="n"/>
      <c r="P89" s="20" t="n">
        <v>0</v>
      </c>
      <c r="Q89" s="20" t="n">
        <v>86</v>
      </c>
      <c r="R89" s="21" t="inlineStr">
        <is>
          <t>High</t>
        </is>
      </c>
    </row>
    <row r="90">
      <c r="A90" s="10" t="inlineStr">
        <is>
          <t>Hills Science Diet</t>
        </is>
      </c>
      <c r="B90" s="10" t="inlineStr">
        <is>
          <t>d/d venison</t>
        </is>
      </c>
      <c r="C90" s="10" t="n">
        <v>8.5</v>
      </c>
      <c r="D90" s="10" t="n">
        <v>472</v>
      </c>
      <c r="E90" s="10" t="n">
        <v>27</v>
      </c>
      <c r="F90" s="10" t="inlineStr">
        <is>
          <t>Yellow Peas, Pea Protein, Venison, Green Peas, Soybean Oil, Powdered Cellulose, Chicken Liver Flavor, Coconut Oil, Calcium Sulfate, Fish Oil, Lactic Acid, Choline Chloride, DL-Methionine, Potassium Chloride, Taurine, Iodized Salt, Glyceryl Monostearate, Dicalcium Phosphate, Calcium Carbonate, vitamins (Vitamin E Supplement, L-Ascorbyl-2-Polyphosphate (source of Vitamin C), Niacin Supplement, Thiamine Mononitrate, Vitamin A Supplement, Calcium Pantothenate, Riboflavin Supplement, Biotin, Vitamin B12 Supplement, Pyridoxine Hydrochloride, Folic Acid, Vitamin D3 Supplement), minerals (Ferrous Sulfate, Zinc Oxide, Copper Sulfate, Manganous Oxide, Calcium Iodate, Sodium Selenite), Cysteine, Mixed Tocopherols for freshness, Natural Flavors, Beta-Carotene.</t>
        </is>
      </c>
      <c r="H90" s="12" t="n"/>
      <c r="J90" s="12" t="n">
        <v>2</v>
      </c>
      <c r="K90" s="14" t="inlineStr">
        <is>
          <t>Moderate</t>
        </is>
      </c>
      <c r="L90" s="12" t="n"/>
      <c r="M90" s="12" t="n"/>
      <c r="N90" s="12" t="n"/>
      <c r="O90" s="12" t="n"/>
      <c r="P90" s="20" t="n">
        <v>1</v>
      </c>
      <c r="Q90" s="20" t="n">
        <v>6</v>
      </c>
      <c r="R90" s="23" t="inlineStr">
        <is>
          <t>Low</t>
        </is>
      </c>
    </row>
    <row r="91">
      <c r="A91" s="10" t="inlineStr">
        <is>
          <t>Solid Gold</t>
        </is>
      </c>
      <c r="B91" s="10" t="inlineStr">
        <is>
          <t>Indigo Moon High Protein Wild Alaskan Pollock &amp; Eggs Recipe Grain-Free Dry Cat Food</t>
        </is>
      </c>
      <c r="C91" s="10" t="n">
        <v>12</v>
      </c>
      <c r="D91" s="10" t="n">
        <v>485</v>
      </c>
      <c r="E91" s="10" t="n">
        <v>42</v>
      </c>
      <c r="F91" s="10" t="inlineStr">
        <is>
          <t>Ocean Fish Meal, Chicken Meal, Peas, Chicken Fat (Preserved with Mixed Tocopherols), Pollock, Pea Protein, Tapioca, Dried Eggs, Ground Flaxseed, Natural Flavor, Carrots, Pumpkin, Salmon Oil (Preserved with Mixed Tocopherols), Potassium Chloride, Vitamins (Vitamin E Supplement, L-Ascorbyl-2-Polyphosphate (Source of Vitamin C), Niacin, Calcium Pantothenate, Riboflavin, Pyridoxine Hydrochloride, Thiamine Mononitrate, Vitamin A Supplement, Vitamin B12 Supplement, Vitamin D3 Supplement, Biotin, Folic Acid), Taurine, Choline Chloride, Minerals (Zinc Sulfate, Ferrous Sulfate, Copper Sulfate, Manganese Sulfate, Zinc Proteinate, Manganese Proteinate, Copper Proteinate, Sodium Selenite, Calcium Iodate), Blueberries, Cranberries, Dried Chicory Root, Rosemary Extract, Dried Bacillus Coagulans Fermentation Product.</t>
        </is>
      </c>
      <c r="H91" s="12" t="n"/>
      <c r="J91" s="12" t="n">
        <v>7</v>
      </c>
      <c r="K91" s="12" t="inlineStr">
        <is>
          <t>Avoid</t>
        </is>
      </c>
      <c r="L91" s="14" t="inlineStr">
        <is>
          <t>Y</t>
        </is>
      </c>
      <c r="M91" s="12" t="n"/>
      <c r="N91" s="12" t="n"/>
      <c r="O91" s="12" t="n"/>
      <c r="P91" s="20" t="n">
        <v>1</v>
      </c>
      <c r="Q91" s="20" t="n">
        <v>77</v>
      </c>
      <c r="R91" s="22" t="inlineStr">
        <is>
          <t>Mod</t>
        </is>
      </c>
    </row>
    <row r="92">
      <c r="A92" s="10" t="inlineStr">
        <is>
          <t>Hills Science Diet</t>
        </is>
      </c>
      <c r="B92" s="10" t="inlineStr">
        <is>
          <t>d/d duck</t>
        </is>
      </c>
      <c r="C92" s="10" t="n">
        <v>8.5</v>
      </c>
      <c r="D92" s="10" t="n">
        <v>486</v>
      </c>
      <c r="E92" s="10" t="n">
        <v>27</v>
      </c>
      <c r="F92" s="10" t="inlineStr">
        <is>
          <t>Yellow Peas, Pea Protein, Duck, Green Peas, Soybean Oil, Powdered Cellulose, Chicken Liver Flavor, Coconut Oil, Calcium Sulfate, Lactic Acid, Fish Oil, DL-Methionine, Choline Chloride, Iodized Salt, Taurine, Potassium Chloride, Glyceryl Monostearate, Calcium Carbonate, vitamins (Vitamin E Supplement, L-Ascorbyl-2-Polyphosphate (source of Vitamin C), Niacin Supplement, Thiamine Mononitrate, Vitamin A Supplement, Calcium Pantothenate, Riboflavin Supplement, Biotin, Vitamin B12 Supplement, Pyridoxine Hydrochloride, Folic Acid, Vitamin D3 Supplement), Potassium Sulfate, Dicalcium Phosphate, minerals (Ferrous Sulfate, Zinc Oxide, Copper Sulfate, Manganous Oxide, Calcium Iodate, Sodium Selenite), Cysteine, Mixed Tocopherols for freshness, Natural Flavors, Beta-Carotene.</t>
        </is>
      </c>
      <c r="H92" s="12" t="n"/>
      <c r="J92" s="12" t="n">
        <v>2</v>
      </c>
      <c r="K92" s="14" t="inlineStr">
        <is>
          <t>Moderate</t>
        </is>
      </c>
      <c r="L92" s="12" t="n"/>
      <c r="M92" s="12" t="n"/>
      <c r="N92" s="12" t="n"/>
      <c r="O92" s="12" t="n"/>
      <c r="P92" s="20" t="n">
        <v>1</v>
      </c>
      <c r="Q92" s="20" t="n">
        <v>6</v>
      </c>
      <c r="R92" s="23" t="inlineStr">
        <is>
          <t>Low</t>
        </is>
      </c>
    </row>
    <row r="93">
      <c r="A93" s="10" t="inlineStr">
        <is>
          <t>Purina Pro Plan</t>
        </is>
      </c>
      <c r="B93" s="10" t="inlineStr">
        <is>
          <t>urinary</t>
        </is>
      </c>
      <c r="C93" s="10" t="n">
        <v>22</v>
      </c>
      <c r="D93" s="10" t="n">
        <v>487</v>
      </c>
      <c r="E93" s="10" t="n">
        <v>31</v>
      </c>
      <c r="F93" s="10" t="inlineStr">
        <is>
          <t>Corn Gluten Meal, Chicken, Wheat Flour, Brewers Rice, Ground Yellow Corn, Animal Fat Preserved with Mixed-Tocopherols, Egg Product, Sodium Caseinate, Phosphoric Acid, Calcium Carbonate, Potassium Chloride, Animal Digest, Salt, L-Lysine Monohydrochloride, Dried Whey, Choline Chloride, Dicalcium Phosphate, Taurine, Zinc Sulfate, Ferrous Sulfate, Manganese Sulfate, Vitamin E Supplement, Niacin, Citric Acid, Vitamin A Supplement, Calcium Pantothenate, Thiamine Mononitrate, Copper Sulfate, Riboflavin Supplement, Vitamin B-12 Supplement, Pyridoxine Hydrochloride, Folic Acid, Vitamin D-3 Supplement, Calcium Iodate, Biotin, Menadione Sodium Bisulfite Complex (Source of Vitamin K Activity), Sodium Selenite</t>
        </is>
      </c>
      <c r="H93" s="11" t="inlineStr">
        <is>
          <t>Y</t>
        </is>
      </c>
      <c r="J93" s="11" t="n">
        <v>0</v>
      </c>
      <c r="K93" s="11" t="inlineStr">
        <is>
          <t>Excellent</t>
        </is>
      </c>
      <c r="L93" s="11" t="n"/>
      <c r="M93" s="11" t="inlineStr">
        <is>
          <t>Y</t>
        </is>
      </c>
      <c r="N93" s="12" t="n"/>
      <c r="O93" s="12" t="n"/>
      <c r="P93" s="20" t="n">
        <v>1</v>
      </c>
      <c r="Q93" s="20" t="n">
        <v>34</v>
      </c>
      <c r="R93" s="23" t="inlineStr">
        <is>
          <t>Low</t>
        </is>
      </c>
    </row>
    <row r="94">
      <c r="A94" s="10" t="inlineStr">
        <is>
          <t>Instinct Ultimate Protein Grain-Free Cage-Free Chicken Recipe Freeze-Dried Raw Coated Dry Cat Food</t>
        </is>
      </c>
      <c r="D94" s="10" t="n">
        <v>491</v>
      </c>
      <c r="E94" s="10" t="n">
        <v>47</v>
      </c>
      <c r="F94" s="10" t="inlineStr">
        <is>
          <t>Chicken, Tapioca, Chicken Fat (preserved with Mixed Tocopherols), Ground Flaxseed, Natural Flavor, Dried Tomato Pomace, Dried Whey Protein Concentrate, Potassium Chloride, Salt, Vitamins (Vitamin E Supplement, Niacin Supplement, L-Ascorbyl-2-Polyphosphate, Thiamine Mononitrate, d-Calcium Pantothenate, Vitamin A Supplement, Riboflavin Supplement, Pyridoxine Hydrochloride, Vitamin B12 Supplement, Folic Acid, Vitamin D3 Supplement, Biotin), Choline Chloride, Minerals (Zinc Proteinate, Iron Proteinate, Copper Proteinate, Manganese Proteinate, Sodium Selenite, Ethylenediamine Dihydriodide), Taurine, Freeze Dried Pollock, Pumpkinseeds, Dried Bacillus coagulans Fermentation Product, Rosemary Extract.</t>
        </is>
      </c>
      <c r="H94" s="12" t="n"/>
      <c r="J94" s="11" t="n">
        <v>0</v>
      </c>
      <c r="K94" s="11" t="inlineStr">
        <is>
          <t>Excellent</t>
        </is>
      </c>
      <c r="L94" s="14" t="inlineStr">
        <is>
          <t>Y</t>
        </is>
      </c>
      <c r="M94" s="12" t="n"/>
      <c r="N94" s="12" t="n"/>
      <c r="O94" s="12" t="n"/>
      <c r="P94" s="20" t="n">
        <v>0</v>
      </c>
      <c r="Q94" s="20" t="n">
        <v>100</v>
      </c>
      <c r="R94" s="21" t="inlineStr">
        <is>
          <t>High</t>
        </is>
      </c>
    </row>
    <row r="95">
      <c r="A95" s="10" t="inlineStr">
        <is>
          <t>Purine Pro Plan</t>
        </is>
      </c>
      <c r="B95" s="10" t="inlineStr">
        <is>
          <t>Complete Essentials - chicken &amp; rice</t>
        </is>
      </c>
      <c r="C95" s="10" t="n">
        <v>16</v>
      </c>
      <c r="D95" s="10" t="n">
        <v>494</v>
      </c>
      <c r="E95" s="10" t="n">
        <v>36</v>
      </c>
      <c r="F95" s="10" t="inlineStr">
        <is>
          <t xml:space="preserve">Chicken, Rice, Corn Gluten Meal, Poultry By-product Meal, Wheat Flour, Dried Egg Product, Beef Fat Preserved With Mixed-tocopherols, Soy Protein Concentrate, Natural Flavor, Fish Meal, Inulin, Potassium Chloride, Phosphoric Acid, Calcium Carbonate, Salt, Caramel Color, Choline Chloride, Vitamins [Vitamin E Supplement, Niacin (Vitamin B-3), Vitamin A Supplement, Calcium Pantothenate (Vitamin B-5), Thiamine Mononitrate (Vitamin B-1), Riboflavin Supplement (Vitamin B-2), Vitamin B-12 Supplement, Pyridoxine Hydrochloride (Vitamin B-6), Folic Acid (Vitamin B-9), Vitamin D-3 Supplement, Biotin (Vitamin B-7), Menadione Sodium Bisulfite Complex (Vitamin K)], Taurine, Minerals [Zinc Sulfate, Ferrous Sulfate, Manganese Sulfate, Copper Sulfate, Calcium Iodate, Sodium Selenite], L-lysine Monohydrochloride, Dried Bacillus Coagulans Fermentation Product. </t>
        </is>
      </c>
      <c r="H95" s="12" t="n"/>
      <c r="J95" s="12" t="n">
        <v>5</v>
      </c>
      <c r="K95" s="13" t="inlineStr">
        <is>
          <t>Poor</t>
        </is>
      </c>
      <c r="L95" s="14" t="inlineStr">
        <is>
          <t>Y</t>
        </is>
      </c>
      <c r="M95" s="12" t="n"/>
      <c r="N95" s="12" t="n"/>
      <c r="O95" s="12" t="n"/>
      <c r="P95" s="20" t="n">
        <v>2</v>
      </c>
      <c r="Q95" s="20" t="n">
        <v>58</v>
      </c>
      <c r="R95" s="23" t="inlineStr">
        <is>
          <t>Low</t>
        </is>
      </c>
    </row>
    <row r="96">
      <c r="A96" s="10" t="inlineStr">
        <is>
          <t>Hills Science Diet</t>
        </is>
      </c>
      <c r="B96" s="10" t="inlineStr">
        <is>
          <t>i/d digestive care</t>
        </is>
      </c>
      <c r="C96" s="10" t="n">
        <v>8.5</v>
      </c>
      <c r="D96" s="10" t="n">
        <v>498</v>
      </c>
      <c r="E96" s="10" t="n">
        <v>35</v>
      </c>
      <c r="F96" s="10" t="inlineStr">
        <is>
          <t>Chicken, Cracked Pearled Barley, Corn Gluten Meal, Brewers Rice, Pork Fat, Chicken Meal, Whole Grain Corn, Egg Product, Chicken Liver Flavor, Lactic Acid, Dried Beet Pulp, Potassium Chloride, Calcium Sulfate, DL-Methionine, Choline Chloride, Fructooligosaccharides, vitamins (Vitamin E Supplement, Niacin Supplement, Thiamine Mononitrate, L-Ascorbyl-2-Polyphosphate (source of Vitamin C), Vitamin A Supplement, Calcium Pantothenate, Riboflavin Supplement, Biotin, Vitamin B12 Supplement, Pyridoxine Hydrochloride, Folic Acid, Vitamin D3 Supplement), Taurine, Iodized Salt, L-Lysine, Psyllium Seed Husk, minerals (Ferrous Sulfate, Zinc Oxide, Copper Sulfate, Manganous Oxide, Calcium Iodate, Sodium Selenite), Mixed Tocopherols for freshness, Natural Flavors, Magnesium Oxide, Beta-Carotene.</t>
        </is>
      </c>
      <c r="G96" s="10" t="inlineStr">
        <is>
          <t>Tried Evie - fish free | s/ox</t>
        </is>
      </c>
      <c r="H96" s="11" t="inlineStr">
        <is>
          <t>Y</t>
        </is>
      </c>
      <c r="J96" s="12" t="n">
        <v>6.5</v>
      </c>
      <c r="K96" s="12" t="inlineStr">
        <is>
          <t>Avoid</t>
        </is>
      </c>
      <c r="L96" s="12" t="n"/>
      <c r="M96" s="11" t="inlineStr">
        <is>
          <t>Y</t>
        </is>
      </c>
      <c r="N96" s="12" t="n"/>
      <c r="O96" s="12" t="n"/>
      <c r="P96" s="20" t="n">
        <v>1</v>
      </c>
      <c r="Q96" s="20" t="n">
        <v>59</v>
      </c>
      <c r="R96" s="23" t="inlineStr">
        <is>
          <t>Low</t>
        </is>
      </c>
    </row>
    <row r="97">
      <c r="A97" s="10" t="inlineStr">
        <is>
          <t>orijen</t>
        </is>
      </c>
      <c r="B97" s="10" t="inlineStr">
        <is>
          <t>regional red</t>
        </is>
      </c>
      <c r="C97" s="10" t="n">
        <v>12</v>
      </c>
      <c r="D97" s="10" t="n">
        <v>510</v>
      </c>
      <c r="E97" s="10" t="n">
        <v>40</v>
      </c>
      <c r="F97" s="10" t="inlineStr">
        <is>
          <t>Beef, Wild Boar, Beef Liver, Whole Herring, Pork, Beef Meal, Lamb Meal, Pork Meal, Sardine Meal, Pollock Meal, Whole Red Lentils, Whole Pinto Beans, Lamb, Herring Meal, Beef Fat, Natural Fish Flavor, Lamb Liver, Whole Green Lentils, Whole Navy Beans, Beef Kidney, Pollock Oil, Whole Chickpeas, Whole Peas, Lentil Fiber, Dehydrated Salmon, Beef Tripe, Pork Liver, Pork Kidney, Whole Cranberries, Dried Kelp, Choline Chloride, Mixed Tocopherols (Preservative), Whole Pumpkin, Whole Butternut Squash, Collard Greens, Whole Apples, Whole Pears, Zinc Proteinate, Vitamin E Supplement, Thiamine Mononitrate, Niacin, Pyridoxine Hydrochloride, Dried Bacillus Coagulans Fermentation Product, Dried Chicory Root, Turmeric, Sarsaparilla Root, Althea Root, Rosehips, Juniper Berries, Citric Acid (Preservative), Rosemary Extract.</t>
        </is>
      </c>
      <c r="H97" s="12" t="n"/>
      <c r="J97" s="12" t="n">
        <v>17</v>
      </c>
      <c r="K97" s="12" t="inlineStr">
        <is>
          <t>Avoid</t>
        </is>
      </c>
      <c r="L97" s="14" t="inlineStr">
        <is>
          <t>Y</t>
        </is>
      </c>
      <c r="M97" s="12" t="n"/>
      <c r="N97" s="12" t="n"/>
      <c r="O97" s="12" t="n"/>
      <c r="P97" s="20" t="n">
        <v>0</v>
      </c>
      <c r="Q97" s="20" t="n">
        <v>82</v>
      </c>
      <c r="R97" s="22" t="inlineStr">
        <is>
          <t>Mod</t>
        </is>
      </c>
    </row>
    <row r="98">
      <c r="A98" s="10" t="inlineStr">
        <is>
          <t>Purina One</t>
        </is>
      </c>
      <c r="B98" s="10" t="inlineStr">
        <is>
          <t>Kitten</t>
        </is>
      </c>
      <c r="C98" s="10" t="n">
        <v>16</v>
      </c>
      <c r="D98" s="10" t="n">
        <v>514</v>
      </c>
      <c r="E98" s="10" t="n">
        <v>40</v>
      </c>
      <c r="F98" s="10" t="inlineStr">
        <is>
          <t>Chicken, Chicken By-Product Meal, Corn Gluten Meal, Rice Flour, Soybean Meal, Beef Fat Preserved With Mixed-Tocopherols, Chicken Meal, Whole Grain Corn, Soy Protein Concentrate, Natural Flavor, Soy Protein Isolate, Phosphoric Acid, Salt, Fish Oil, Glycerin, Calcium Carbonate, Choline Chloride, Dried Carrots, Dried Peas, Vegetable Juice (Color), Minerals [Zinc Sulfate, Ferrous Sulfate, Manganese Sulfate, Copper Sulfate, Calcium Iodate, Sodium Selenite], Potassium Chloride, Taurine, Vitamins [Vitamin E Supplement, Niacin (Vitamin B-3), Vitamin A Supplement, Calcium Pantothenate (Vitamin B-5), Thiamine Mononitrate (Vitamin B-1), Riboflavin Supplement (Vitamin B-2), Vitamin B-12 Supplement, Pyridoxine Hydrochloride (Vitamin B-6), Folic Acid (Vitamin B-9), Vitamin D-3 Supplement, Biotin (Vitamin B-7), Menadione Sodium Bisulfite Complex (Vitamin K)], L-Lysine Monohydrochloride, Dl-Methionine</t>
        </is>
      </c>
      <c r="H98" s="12" t="n"/>
      <c r="J98" s="12" t="n">
        <v>2</v>
      </c>
      <c r="K98" s="14" t="inlineStr">
        <is>
          <t>Moderate</t>
        </is>
      </c>
      <c r="L98" s="12" t="n"/>
      <c r="M98" s="12" t="n"/>
      <c r="N98" s="12" t="n"/>
      <c r="O98" s="12" t="n"/>
      <c r="P98" s="20" t="n">
        <v>2</v>
      </c>
      <c r="Q98" s="20" t="n">
        <v>27</v>
      </c>
      <c r="R98" s="23" t="inlineStr">
        <is>
          <t>Low</t>
        </is>
      </c>
    </row>
    <row r="99">
      <c r="A99" s="10" t="inlineStr">
        <is>
          <t>orijen</t>
        </is>
      </c>
      <c r="B99" s="10" t="inlineStr">
        <is>
          <t>kitten</t>
        </is>
      </c>
      <c r="C99" s="10" t="n">
        <v>7</v>
      </c>
      <c r="D99" s="10" t="n">
        <v>515</v>
      </c>
      <c r="E99" s="10" t="n">
        <v>40</v>
      </c>
      <c r="F99" s="10" t="inlineStr">
        <is>
          <t>Chicken, Turkey, Salmon, Whole Herring, Chicken Liver, Dehydrated Chicken, Dehydrated Turkey, Dehydrated Herring, Dehydrated Chicken Liver, Dehydrated Egg, Whole Red Lentils, Whole Pinto Beans, Turkey Giblets (Liver, Heart, Gizzard), Eggs, Pollock Oil, Chicken Fat, Whole Green Lentils, Whole Navy Beans, Whole Chickpeas, Whole Peas, Natural Chicken Flavor, Ground Miscanthus Grass, Chicken Hearts, Whole Cranberries, Dried Kelp, Whole Pumpkin, Whole Butternut Squash, Collard Greens, Whole Apples, Whole Pears, Dried Bacillus Coagulans Fermentation Product, Dried Chicory Root, Turmeric, Sarsaparilla Root, Althea Root, Rosehips, Juniper Berries, Rosemary Extract.</t>
        </is>
      </c>
      <c r="G99" s="10" t="inlineStr">
        <is>
          <t>Chicken, Turkey, Salmon, Whole Herring, Chicken Liver, Dehydrated Chicken, Dehydrated Turkey, Dehydrated Herring, Dehydrated Chicken Liver, Dehydrated Egg, Whole Red Lentils, Whole Pinto Beans, Turkey Giblets (Liver, Heart, Gizzard), Eggs, Pollock Oil, Chicken Fat, Whole Green Lentils, Whole Navy Beans, Whole Chickpeas, Whole Peas, Natural Chicken Flavor, Ground Miscanthus Grass, Chicken Hearts, Choline Chloride, Whole Cranberries, Dried Kelp, Mixed Tocopherols (Preservative), Whole Pumpkin, Whole Butternut Squash, Collard Greens, Whole Apples, Whole Pears, Zinc Proteinate, Riboflavin, Folic Acid, Thiamine Mononitrate, Niacin, Pyridoxine Hydrochloride, Copper Proteinate, Dried Bacillus Coagulans Fermentation Product, Dried Chicory Root, Turmeric, Sarsaparilla Root, Althea Root, Rosehips, Juniper Berries, Citric Acid (Preservative), Rosemary Extract.</t>
        </is>
      </c>
      <c r="H99" s="12" t="n"/>
      <c r="J99" s="12" t="n">
        <v>17</v>
      </c>
      <c r="K99" s="12" t="inlineStr">
        <is>
          <t>Avoid</t>
        </is>
      </c>
      <c r="L99" s="14" t="inlineStr">
        <is>
          <t>Y</t>
        </is>
      </c>
      <c r="M99" s="12" t="n"/>
      <c r="N99" s="12" t="n"/>
      <c r="O99" s="12" t="n"/>
      <c r="P99" s="20" t="n">
        <v>0</v>
      </c>
      <c r="Q99" s="20" t="n">
        <v>78</v>
      </c>
      <c r="R99" s="22" t="inlineStr">
        <is>
          <t>Mod</t>
        </is>
      </c>
    </row>
    <row r="100">
      <c r="A100" s="10" t="inlineStr">
        <is>
          <t>AvoDerm Grain-Free Duck with Turkey</t>
        </is>
      </c>
      <c r="D100" s="10" t="n">
        <v>517</v>
      </c>
      <c r="E100" s="10" t="n">
        <v>32</v>
      </c>
      <c r="F100" s="10" t="inlineStr">
        <is>
          <t>Duck, Turkey Meal, Peas, Pea Protein, Canola Oil (Preserved with Mixed Tocopherols), Garbanzo Beans, Tapioca Flour, Avocado, Dried Tomato Pomace, Flax Seed (Source of Omega 3), Natural Flavor, Dried Egg Product, Salt, Inulin, Potassium Chloride, Vitamins (Choline Chloride, a -Tocopherol Acetate (Source of Vitamin E), Niacin, L-Ascorbyl-2-Polyphosphate (Source of Vitamin C), Thiamine Mononitrate (Source of Vitamin B1), Menadione Sodium Bisulfite Complex (Source of Vitamin K), Vitamin A Acetate, Pyridoxine Hydrochloride (Source of Vitamin B6), Calcium Pantothenate, Riboflavin Supplement, Biotin, Vitamin B12 Supplement, Vitamin D3 Supplement, Folic Acid), Minerals (Ferrous Sulfate, Zinc Amino Acid Chelate, Zinc Sulfate, Iron Amino Acid Chelate, Copper Sulfate, Sodium Selenite, Copper Amino Acid Chelate, Manganese Sulfate, Manganese Amino Acid Chelate, Calcium Iodate), Avocado Oil, Taurine, Parsley Flakes, Kelp Meal, DL-Methionine, Yucca Schidigera Extract, Inositol.</t>
        </is>
      </c>
      <c r="G100" s="10" t="inlineStr">
        <is>
          <t>Tried - Evie - plays with it</t>
        </is>
      </c>
      <c r="H100" s="11" t="inlineStr">
        <is>
          <t>Y</t>
        </is>
      </c>
      <c r="J100" s="12" t="n">
        <v>11</v>
      </c>
      <c r="K100" s="12" t="inlineStr">
        <is>
          <t>Avoid</t>
        </is>
      </c>
      <c r="L100" s="11" t="n"/>
      <c r="M100" s="11" t="inlineStr">
        <is>
          <t>Y</t>
        </is>
      </c>
      <c r="N100" s="12" t="n"/>
      <c r="O100" s="12" t="n"/>
      <c r="P100" s="20" t="n">
        <v>1</v>
      </c>
      <c r="Q100" s="20" t="n">
        <v>54</v>
      </c>
      <c r="R100" s="23" t="inlineStr">
        <is>
          <t>Low</t>
        </is>
      </c>
    </row>
    <row r="101">
      <c r="A101" s="10" t="inlineStr">
        <is>
          <t>Purina Pro Plan</t>
        </is>
      </c>
      <c r="B101" s="10" t="inlineStr">
        <is>
          <t>Vital systems</t>
        </is>
      </c>
      <c r="C101" s="10" t="n">
        <v>5</v>
      </c>
      <c r="D101" s="10" t="n">
        <v>521</v>
      </c>
      <c r="E101" s="10" t="n">
        <v>40</v>
      </c>
      <c r="F101" s="10" t="inlineStr">
        <is>
          <t>Chicken, Chicken Meal, Pea Protein, Dried Egg Product, Cassava Root Flour, Pea Starch, Potato Protein, Canola Meal, Beef Fat Preserved With Mixed-Tocopherols, Dried Yeast, Natural Flavor, Dried Chicory Root, Salt, Potassium Chloride, L-Lysine Monohydrochloride, Sodium Bisulfate, Calcium Carbonate, Phosphoric Acid, Choline Chloride, Vitamins [Vitamin E Supplement, Niacin (Vitamin B-3), Vitamin A Supplement, Calcium Pantothenate (Vitamin B-5), Thiamine Mononitrate (Vitamin B-1), Riboflavin Supplement (Vitamin B-2), Vitamin B-12 Supplement, Pyridoxine Hydrochloride (Vitamin B-6), Folic Acid (Vitamin B-9), Vitamin D-3 Supplement, Biotin (Vitamin B-7), Menadione Sodium Bisulfite Complex (Vitamin K)], Taurine, Minerals [Zinc Sulfate, Ferrous Sulfate, Manganese Sulfate, Copper Sulfate, Calcium Iodate, Sodium Selenite], Dl-Methionine, Dried Bacillus Coagulans Fermentation Product.</t>
        </is>
      </c>
      <c r="H101" s="11" t="inlineStr">
        <is>
          <t>Y</t>
        </is>
      </c>
      <c r="J101" s="12" t="n">
        <v>7</v>
      </c>
      <c r="K101" s="12" t="inlineStr">
        <is>
          <t>Avoid</t>
        </is>
      </c>
      <c r="L101" s="14" t="inlineStr">
        <is>
          <t>Y</t>
        </is>
      </c>
      <c r="M101" s="11" t="inlineStr">
        <is>
          <t>Y</t>
        </is>
      </c>
      <c r="N101" s="12" t="n"/>
      <c r="O101" s="12" t="n"/>
      <c r="P101" s="20" t="n">
        <v>2</v>
      </c>
      <c r="Q101" s="20" t="n">
        <v>50</v>
      </c>
      <c r="R101" s="23" t="inlineStr">
        <is>
          <t>Low</t>
        </is>
      </c>
    </row>
    <row r="102">
      <c r="A102" s="10" t="inlineStr">
        <is>
          <t>Hills Science Diet</t>
        </is>
      </c>
      <c r="B102" s="10" t="inlineStr">
        <is>
          <t>s/d urinary</t>
        </is>
      </c>
      <c r="C102" s="10" t="n">
        <v>4</v>
      </c>
      <c r="D102" s="10" t="n">
        <v>523</v>
      </c>
      <c r="E102" s="10" t="n">
        <v>30</v>
      </c>
      <c r="F102" s="10" t="inlineStr">
        <is>
          <t>Chicken, Potatoes, Wheat Flour, Cane Molasses, Glycerin, Yellow Peas, Dried Beet Pulp, Chicken Fat, Pork Gelatin, Fish Oil, Lactic Acid, Natural Flavor, Flaxseed, Chicken Liver Flavor, Mixed Tocopherols for freshness, Citric Acid for Freshness, L-Carnitine, Rosemary Extract.</t>
        </is>
      </c>
      <c r="G102" s="10" t="inlineStr">
        <is>
          <t>dissolves struvite crystals in 6 days</t>
        </is>
      </c>
      <c r="H102" s="12" t="n"/>
      <c r="J102" s="12" t="n">
        <v>3.5</v>
      </c>
      <c r="K102" s="13" t="inlineStr">
        <is>
          <t>Poor</t>
        </is>
      </c>
      <c r="L102" s="12" t="n"/>
      <c r="M102" s="12" t="n"/>
      <c r="N102" s="12" t="n"/>
      <c r="O102" s="12" t="n"/>
      <c r="P102" s="20" t="n">
        <v>0</v>
      </c>
      <c r="Q102" s="20" t="n">
        <v>81</v>
      </c>
      <c r="R102" s="22" t="inlineStr">
        <is>
          <t>Mod</t>
        </is>
      </c>
    </row>
    <row r="103">
      <c r="A103" s="10" t="inlineStr">
        <is>
          <t>Hills Science Diet</t>
        </is>
      </c>
      <c r="B103" s="10" t="inlineStr">
        <is>
          <t xml:space="preserve">sensitive stomach and skin - chicken/rice </t>
        </is>
      </c>
      <c r="C103" s="10" t="n">
        <v>15.5</v>
      </c>
      <c r="D103" s="10" t="n">
        <v>524</v>
      </c>
      <c r="E103" s="10" t="n">
        <v>29</v>
      </c>
      <c r="F103" s="10" t="inlineStr">
        <is>
          <t>Chicken, Brewers Rice, Corn Gluten Meal, Whole Grain Corn, Chicken Fat, Chicken Meal, Egg Product, Chicken Liver Flavor, Soybean Oil, Lactic Acid, Oat Fiber, L-Lysine, Potassium Chloride, Choline Chloride, Fructooligosaccharides (FOS), Iodized Salt, DL-Methionine, Taurine, vitamins (Vitamin E Supplement, L-Ascorbyl-2-Polyphosphate (source of Vitamin C), Niacin Supplement, Thiamine Mononitrate, Vitamin A Supplement, Calcium Pantothenate, Riboflavin Supplement, Biotin, Vitamin B12 Supplement, Pyridoxine Hydrochloride, Folic Acid, Vitamin D3 Supplement), Calcium Carbonate, L-Tryptophan, minerals (Ferrous Sulfate, Zinc Oxide, Copper Sulfate, Manganous Oxide, Calcium Iodate, Sodium Selenite), Mixed Tocopherols for freshness, Natural Flavors, Beta-Carotene.</t>
        </is>
      </c>
      <c r="G103" s="10" t="inlineStr">
        <is>
          <t>Tried - acceptable but doesn't always finish</t>
        </is>
      </c>
      <c r="H103" s="11" t="inlineStr">
        <is>
          <t>Y</t>
        </is>
      </c>
      <c r="J103" s="12" t="n">
        <v>5</v>
      </c>
      <c r="K103" s="13" t="inlineStr">
        <is>
          <t>Poor</t>
        </is>
      </c>
      <c r="L103" s="12" t="n"/>
      <c r="M103" s="11" t="inlineStr">
        <is>
          <t>Y</t>
        </is>
      </c>
      <c r="N103" s="12" t="n"/>
      <c r="O103" s="12" t="n"/>
      <c r="P103" s="20" t="n">
        <v>1</v>
      </c>
      <c r="Q103" s="20" t="n">
        <v>59</v>
      </c>
      <c r="R103" s="23" t="inlineStr">
        <is>
          <t>Low</t>
        </is>
      </c>
    </row>
    <row r="104">
      <c r="A104" s="10" t="inlineStr">
        <is>
          <t>Hills Science Diet</t>
        </is>
      </c>
      <c r="B104" s="10" t="inlineStr">
        <is>
          <t>sensitive stomach and skin - salmon/barley</t>
        </is>
      </c>
      <c r="C104" s="10" t="n">
        <v>6</v>
      </c>
      <c r="D104" s="10" t="n">
        <v>530</v>
      </c>
      <c r="E104" s="10" t="n">
        <v>31.4</v>
      </c>
      <c r="F104" s="10" t="inlineStr">
        <is>
          <t>Pollock Meal, Cracked Pearled Barley, Whole Grain Sorghum, Corn Starch, Potato Protein, Chicken Fat, Egg Product, Pea Protein, Soybean Oil, Chicken Liver Flavor, Coconut Oil, Lactic Acid, Calcium Sulfate, Oat Fiber, Potassium Chloride, L-Lysine, Fructooligosaccharides (FOS), Choline Chloride, Calcium Carbonate, DL-Methionine, vitamins (Vitamin E Supplement, L-Ascorbyl-2-Polyphosphate (source of Vitamin C), Niacin Supplement, Thiamine Mononitrate, Vitamin A Supplement, Calcium Pantothenate, Biotin, Riboflavin Supplement, Vitamin B12 Supplement, Pyridoxine Hydrochloride, Folic Acid, Vitamin D3 Supplement), Taurine, minerals (Ferrous Sulfate, Zinc Oxide, Copper Sulfate, Manganous Oxide, Calcium Iodate, Sodium Selenite), Mixed Tocopherols for freshness, Natural Flavors, Beta-Carotene.</t>
        </is>
      </c>
      <c r="H104" s="12" t="n"/>
      <c r="J104" s="12" t="n">
        <v>7</v>
      </c>
      <c r="K104" s="12" t="inlineStr">
        <is>
          <t>Avoid</t>
        </is>
      </c>
      <c r="L104" s="12" t="n"/>
      <c r="M104" s="12" t="n"/>
      <c r="N104" s="12" t="n"/>
      <c r="O104" s="12" t="n"/>
      <c r="P104" s="20" t="n">
        <v>2</v>
      </c>
      <c r="Q104" s="20" t="n">
        <v>61</v>
      </c>
      <c r="R104" s="23" t="inlineStr">
        <is>
          <t>Low</t>
        </is>
      </c>
    </row>
    <row r="105">
      <c r="A105" s="10" t="inlineStr">
        <is>
          <t>Purina Pro Plan</t>
        </is>
      </c>
      <c r="B105" s="10" t="inlineStr">
        <is>
          <t>sensitive skin &amp; stomach - lamb &amp; rice</t>
        </is>
      </c>
      <c r="C105" s="10" t="n">
        <v>22</v>
      </c>
      <c r="D105" s="10" t="n">
        <v>539</v>
      </c>
      <c r="E105" s="10" t="n">
        <v>40</v>
      </c>
      <c r="F105" s="10" t="inlineStr">
        <is>
          <t>Lamb, Rice, Corn Gluten Meal, Chicken Meal, Soybean Meal, Soy Protein Isolate, Fish Meal, Beef Fat Preserved With Mixed-tocopherols, Dried Egg Product, Natural Flavor, Oat Meal, Soybean Oil, Wheat Flour, Chicory Root Inulin, Gelatin, Potassium Chloride, Phosphoric Acid, Salt, Minerals [Zinc Proteinate, Manganese Proteinate, Ferrous Sulfate, Copper Proteinate, Calcium Iodate, Sodium Selenite], Choline Chloride, L-lysine Monohydrochloride, Vitamins [Vitamin E Supplement, Niacin (Vitamin B-3), Vitamin A Supplement, Calcium Pantothenate (Vitamin B-5), Thiamine Mononitrate (Vitamin B-1), Riboflavin Supplement (Vitamin B-2), Vitamin B-12 Supplement, Pyridoxine Hydrochloride (Vitamin B-6), Folic Acid (Vitamin B-9), Vitamin D-3 Supplement, Biotin (Vitamin B-7), Menadione Sodium Bisulfite Complex (Vitamin K)], Taurine, Dried Bacillus Coagulans Fermentation Product, Calcium Carbonate.</t>
        </is>
      </c>
      <c r="H105" s="12" t="n"/>
      <c r="J105" s="12" t="n">
        <v>10</v>
      </c>
      <c r="K105" s="12" t="inlineStr">
        <is>
          <t>Avoid</t>
        </is>
      </c>
      <c r="L105" s="14" t="inlineStr">
        <is>
          <t>Y</t>
        </is>
      </c>
      <c r="M105" s="12" t="n"/>
      <c r="N105" s="12" t="n"/>
      <c r="O105" s="12" t="n"/>
      <c r="P105" s="20" t="n">
        <v>2</v>
      </c>
      <c r="Q105" s="20" t="n">
        <v>49</v>
      </c>
      <c r="R105" s="23" t="inlineStr">
        <is>
          <t>Low</t>
        </is>
      </c>
    </row>
    <row r="106">
      <c r="A106" s="10" t="inlineStr">
        <is>
          <t>Tiki Cat</t>
        </is>
      </c>
      <c r="B106" s="10" t="inlineStr">
        <is>
          <t>kitten</t>
        </is>
      </c>
      <c r="C106" s="10" t="n">
        <v>5.6</v>
      </c>
      <c r="D106" s="10" t="n">
        <v>560</v>
      </c>
      <c r="E106" s="10" t="n">
        <v>42</v>
      </c>
      <c r="F106" s="10" t="inlineStr">
        <is>
          <t>Deboned Chicken, Chicken Meal, Dried Egg Product, Salmon Oil, Dehydrated Chicken Liver, Peas, Chickpeas, Tapioca, Ground Whole Flaxseed, Brewers Dried Yeast, Chicken Fat, Salmon Oil, Spinach, Inulin, Pumpkin, Dried Bacillus Coagulans Fermentation Product, Rosemary Extract, Tannic Acid.</t>
        </is>
      </c>
      <c r="G106" s="10" t="inlineStr">
        <is>
          <t>Deboned Chicken, Chicken Meal, Dried Egg Product, Natural Chicken Flavor, Salmon Oil, Dehydrated Chicken Liver, Peas, Chickpeas, Tapioca, Ground Whole Flaxseed, Brewers Dried Yeast, Chicken Fat (Preserved With Mixed Tocopherols And Citric Acid), Potassium Chloride, Calcium Sulfate, Choline Chloride, Calcium Carbonate, Spinach, Inulin, Pumpkin, Dried Bacillus Coagulans Fermentation Product, Taurine, Ferrous Sulfate, Zinc Sulfate, Vitamin E Supplement, Niacin Supplement (Vitamin B3), Copper Sulfate, Vitamin A Supplement, Manganese Sulfate, Thiamine Mononitrate (Vitamin B1), D-Calcium Pantothenate, Pyridoxine Hydrochloride (Vitamin B6), Biotin, Riboflavin Supplement (Vitamin B2), Vitamin B12 Supplement, Vitamin D3 Supplement, Calcium Iodate, Folic Acid, Sodium Selenite, Rosemary Extract, Ascorbic Acid (Preservative), Citric Acid (Preservative), Tannic Acid.</t>
        </is>
      </c>
      <c r="H106" s="12" t="n"/>
      <c r="J106" s="12" t="n">
        <v>9</v>
      </c>
      <c r="K106" s="12" t="inlineStr">
        <is>
          <t>Avoid</t>
        </is>
      </c>
      <c r="L106" s="14" t="inlineStr">
        <is>
          <t>Y</t>
        </is>
      </c>
      <c r="M106" s="12" t="n"/>
      <c r="N106" s="12" t="n"/>
      <c r="O106" s="12" t="n"/>
      <c r="P106" s="20" t="n">
        <v>0</v>
      </c>
      <c r="Q106" s="20" t="n">
        <v>81</v>
      </c>
      <c r="R106" s="22" t="inlineStr">
        <is>
          <t>Mod</t>
        </is>
      </c>
    </row>
    <row r="107">
      <c r="A107" s="10" t="inlineStr">
        <is>
          <t>Purine Pro Plan</t>
        </is>
      </c>
      <c r="B107" s="10" t="inlineStr">
        <is>
          <t>Complete Essentials - salmon &amp; rice</t>
        </is>
      </c>
      <c r="C107" s="10" t="n">
        <v>16</v>
      </c>
      <c r="D107" s="10" t="n">
        <v>561</v>
      </c>
      <c r="E107" s="10" t="n">
        <v>36</v>
      </c>
      <c r="F107" s="10" t="inlineStr">
        <is>
          <t xml:space="preserve">Salmon, Rice, Corn Gluten Meal, Poultry By-Product Meal, Wheat Flour, Dried Egg Product, Beef Fat Preserved With Mixed-tocopherols, Soy Protein Concentrate, Fish Meal, Natural Flavor, Chicory Root Inulin, Calcium Carbonate, Phosphoric Acid, Potassium Chloride, Salt, Caramel Color, Vitamins [Vitamin E Supplement, Niacin (Vitamin B-3), Vitamin A Supplement, Calcium Pantothenate (Vitamin B-5), Thiamine Mononitrate (Vitamin B-1), Riboflavin Supplement (Vitamin B-2), Vitamin B-12 Supplement, Pyridoxine Hydrochloride (Vitamin B-6), Folic Acid (Vitamin B-9), Vitamin D-3 Supplement, Biotin (Vitamin B-7), Menadione Sodium Bisulfite Complex (Vitamin K)], Choline Chloride, Taurine, Minerals [Zinc Sulfate, Ferrous Sulfate, Manganese Sulfate, Copper Sulfate, Calcium Iodate, Sodium Selenite], L-lysine Monohydrochloride, Dried Bacillus Coagulans Fermentation Product. </t>
        </is>
      </c>
      <c r="H107" s="12" t="n"/>
      <c r="J107" s="12" t="n">
        <v>10</v>
      </c>
      <c r="K107" s="12" t="inlineStr">
        <is>
          <t>Avoid</t>
        </is>
      </c>
      <c r="L107" s="14" t="inlineStr">
        <is>
          <t>Y</t>
        </is>
      </c>
      <c r="M107" s="12" t="n"/>
      <c r="N107" s="12" t="n"/>
      <c r="O107" s="12" t="n"/>
      <c r="P107" s="20" t="n">
        <v>2</v>
      </c>
      <c r="Q107" s="20" t="n">
        <v>58</v>
      </c>
      <c r="R107" s="23" t="inlineStr">
        <is>
          <t>Low</t>
        </is>
      </c>
    </row>
    <row r="108">
      <c r="A108" s="10" t="inlineStr">
        <is>
          <t>Purina Pro Plan</t>
        </is>
      </c>
      <c r="B108" s="10" t="inlineStr">
        <is>
          <t>sensitive skin &amp; stomach - turkey &amp; oat</t>
        </is>
      </c>
      <c r="C108" s="10" t="n">
        <v>12.5</v>
      </c>
      <c r="D108" s="10" t="n">
        <v>581</v>
      </c>
      <c r="E108" s="10" t="n">
        <v>40</v>
      </c>
      <c r="F108" s="10" t="inlineStr">
        <is>
          <t>Turkey, Chicken Meal, Pea Protein, Rice, Dried Egg Product, Oat Meal, Beef Fat, Potato Protein, Dried Yeast, Barley, Cassava Root Flour, Chicory Root Inulin, Gelatin, Sunflower Oil, Salt, Dried Bacillus Coagulans Fermentation Product.</t>
        </is>
      </c>
      <c r="G108" s="10" t="inlineStr">
        <is>
          <t>Tried - Evie - shape left crumbs | Turkey, Chicken Meal, Pea Protein, Rice, Dried Egg Product, Oat Meal, Beef Fat Preserved With Mixed-tocopherols, Potato Protein, Dried Yeast, Barley, Natural Flavor, Cassava Root Flour, Chicory Root Inulin, Gelatin, Potassium Chloride, Sunflower Oil, Phosphoric Acid, Minerals [Zinc Proteinate, Manganese Proteinate, Ferrous Sulfate, Copper Proteinate, Calcium Iodate, Sodium Selenite], Choline Chloride, Salt, Vitamins [Vitamin E Supplement, Niacin (Vitamin B-3), Vitamin A Supplement, Calcium Pantothenate (Vitamin B-5), Thiamine Mononitrate (Vitamin B-1), Riboflavin Supplement (Vitamin B-2), Vitamin B-12 Supplement, Pyridoxine Hydrochloride (Vitamin B-6), Folic Acid (Vitamin B-9), Vitamin D-3 Supplement, Biotin (Vitamin B-7), Menadione Sodium Bisulfite Complex (Vitamin K)], Taurine, L-lysine Monohydrochloride, Dried Bacillus Coagulans Fermentation Product, Calcium Carbonate.</t>
        </is>
      </c>
      <c r="H108" s="11" t="inlineStr">
        <is>
          <t>Y</t>
        </is>
      </c>
      <c r="J108" s="12" t="n">
        <v>12</v>
      </c>
      <c r="K108" s="12" t="inlineStr">
        <is>
          <t>Avoid</t>
        </is>
      </c>
      <c r="L108" s="14" t="inlineStr">
        <is>
          <t>Y</t>
        </is>
      </c>
      <c r="M108" s="11" t="inlineStr">
        <is>
          <t>Y</t>
        </is>
      </c>
      <c r="N108" s="12" t="n"/>
      <c r="O108" s="12" t="n"/>
      <c r="P108" s="20" t="n">
        <v>2</v>
      </c>
      <c r="Q108" s="20" t="n">
        <v>55</v>
      </c>
      <c r="R108" s="23" t="inlineStr">
        <is>
          <t>Low</t>
        </is>
      </c>
    </row>
    <row r="109">
      <c r="A109" s="10" t="inlineStr">
        <is>
          <t>7+ Purina Pro Plan</t>
        </is>
      </c>
      <c r="B109" s="10" t="inlineStr">
        <is>
          <t>Vital systems</t>
        </is>
      </c>
      <c r="C109" s="10" t="n">
        <v>5</v>
      </c>
      <c r="D109" s="10" t="n">
        <v>599</v>
      </c>
      <c r="E109" s="10" t="n">
        <v>38</v>
      </c>
      <c r="F109" s="10" t="inlineStr">
        <is>
          <t xml:space="preserve">Salmon, Poultry By-Product Meal, Corn Gluten Meal, Rice, Cassava Root Flour, Beef Fat Preserved With Mixed-Tocopherols, Soybean Meal, Fish Meal, Soybean Oil, Dried Egg Product, Soy Protein Isolate, Natural Flavor, Dried Chicory Root, Fish Oil, Gelatin, Potassium Chloride, Salt, Phosphoric Acid, L-Lysine Monohydrochloride, Sodium Caseinate, Calcium Carbonate, Choline Chloride, Vitamins [Vitamin E Supplement, Niacin (Vitamin B-3), Vitamin A Supplement, Calcium Pantothenate (Vitamin B-5), Thiamine Mononitrate (Vitamin B-1), Riboflavin Supplement (Vitamin B-2), Vitamin B-12 Supplement, Pyridoxine Hydrochloride (Vitamin B-6), Folic Acid (Vitamin B-9), Vitamin D-3 Supplement, Biotin (Vitamin B-7), Menadione Sodium Bisulfite Complex (Vitamin K)], Minerals [Zinc Sulfate, Ferrous Sulfate, Manganese Sulfate, Copper Sulfate, Calcium Iodate, Sodium Selenite], Taurine, Beta-Carotene, Dried Bacillus Coagulans Fermentation Product, L-Ascorbyl-2-Polyphosphate (Vitamin C). </t>
        </is>
      </c>
      <c r="H109" s="12" t="n"/>
      <c r="J109" s="12" t="n">
        <v>5</v>
      </c>
      <c r="K109" s="13" t="inlineStr">
        <is>
          <t>Poor</t>
        </is>
      </c>
      <c r="L109" s="14" t="inlineStr">
        <is>
          <t>Y</t>
        </is>
      </c>
      <c r="M109" s="12" t="n"/>
      <c r="N109" s="12" t="n"/>
      <c r="O109" s="12" t="n"/>
      <c r="P109" s="20" t="n">
        <v>2</v>
      </c>
      <c r="Q109" s="20" t="n">
        <v>43</v>
      </c>
      <c r="R109" s="23" t="inlineStr">
        <is>
          <t>Low</t>
        </is>
      </c>
    </row>
    <row r="110">
      <c r="A110" s="10" t="inlineStr">
        <is>
          <t>7+ Purina Pro Plan</t>
        </is>
      </c>
      <c r="B110" s="10" t="inlineStr">
        <is>
          <t>Prime plus</t>
        </is>
      </c>
      <c r="C110" s="10" t="n">
        <v>12.5</v>
      </c>
      <c r="D110" s="10" t="n">
        <v>604</v>
      </c>
      <c r="E110" s="10" t="n">
        <v>38</v>
      </c>
      <c r="F110" s="10" t="inlineStr">
        <is>
          <t>Chicken, Poultry By-Product Meal, Corn Gluten Meal, Rice, Cassava Root Flour, Beef Fat Preserved With Mixed-tocopherols, Soybean Meal, Soy Protein Isolate, Dried Egg Product, Soybean Oil, Natural Flavor, Dried Chicory Root, Fish Meal, Fish Oil, Gelatin, Potassium Chloride, Phosphoric Acid, L-lysine Monohydrochloride, Salt, Calcium Carbonate, Choline Chloride, Vitamins [Vitamin E Supplement, Niacin (Vitamin B-3), Vitamin A Supplement, Calcium Pantothenate (Vitamin B-5), Thiamine Mononitrate (Vitamin B-1), Riboflavin Supplement (Vitamin B-2), Vitamin B-12 Supplement, Pyridoxine Hydrochloride (Vitamin B-6), Folic Acid (Vitamin B-9), Vitamin D-3 Supplement, Biotin (Vitamin B-7), Menadione Sodium Bisulfite Complex (Vitamin K)], Taurine, Minerals [Zinc Sulfate, Ferrous Sulfate, Manganese Sulfate, Copper Sulfate, Calcium Iodate, Sodium Selenite], Beta-carotene, Dried Bacillus Coagulans Fermentation Product, L-ascorbyl-2-polyphosphate (Vitamin C).</t>
        </is>
      </c>
      <c r="H110" s="12" t="n"/>
      <c r="J110" s="12" t="n">
        <v>5</v>
      </c>
      <c r="K110" s="13" t="inlineStr">
        <is>
          <t>Poor</t>
        </is>
      </c>
      <c r="L110" s="14" t="inlineStr">
        <is>
          <t>Y</t>
        </is>
      </c>
      <c r="M110" s="12" t="n"/>
      <c r="N110" s="12" t="n"/>
      <c r="O110" s="12" t="n"/>
      <c r="P110" s="20" t="n">
        <v>2</v>
      </c>
      <c r="Q110" s="20" t="n">
        <v>40</v>
      </c>
      <c r="R110" s="23" t="inlineStr">
        <is>
          <t>Low</t>
        </is>
      </c>
    </row>
    <row r="111">
      <c r="A111" s="10" t="inlineStr">
        <is>
          <t>Wellness CORE+</t>
        </is>
      </c>
      <c r="B111" s="10" t="inlineStr">
        <is>
          <t>Grain-Free Indoor Chicken, Turkey &amp; Chicken Meal Dry Cat Food</t>
        </is>
      </c>
      <c r="C111" s="10" t="n">
        <v>11</v>
      </c>
      <c r="D111" s="10" t="n">
        <v>422</v>
      </c>
      <c r="E111" s="10" t="n">
        <v>38</v>
      </c>
      <c r="F111" s="10" t="inlineStr">
        <is>
          <t>Deboned Chicken, Turkey Meal, Chicken Meal (source of Glucosamine and Chondroitin Sulfate), Peas, Dried Ground Potatoes, Dried Plain Beet Pulp, Flaxseed, Chicken Fat, Natural Flavor, Calcium Chloride, Choline Chloride, Cranberries, Taurine, Dried Chicory Root, Hydrolyzed Yeast, Vitamin E Supplement, Dried Kelp, L-Carnitine, Mixed Tocopherols added to preserve freshness, Vitamin C (L-ascorbyl-2-polyphosphate), Niacin, Zinc Proteinate, Ferrous Sulfate, Zinc Sulfate, Iron Proteinate, Yucca Schidigera Extract, Vitamin A Supplement, Thiamine Mononitrate, d-Calcium Pantothenate, Sodium Selenite, Pyridoxine Hydrochloride, Copper Sulfate, Manganese Sulfate, Riboflavin, Manganese Proteinate, Copper Proteinate, Biotin, Vitamin D3 Supplement, Vitamin B12 Supplement, Folic Acid, Calcium Iodate, Vitamin C (Ascorbic Acid), Dried Enterococcus faecium Fermentation Product, Dried Bacillus licheniformis Fermentation Product, Dried Bacillus subtilis Fermentation Product, Rosemary Extract, Green Tea Extract, Spearmint Extract.</t>
        </is>
      </c>
      <c r="H111" s="11" t="inlineStr">
        <is>
          <t>Y</t>
        </is>
      </c>
      <c r="J111" s="12" t="n">
        <v>9.5</v>
      </c>
      <c r="K111" s="12" t="inlineStr">
        <is>
          <t>Avoid</t>
        </is>
      </c>
      <c r="L111" s="14" t="inlineStr">
        <is>
          <t>Y</t>
        </is>
      </c>
      <c r="M111" s="11" t="inlineStr">
        <is>
          <t>Y</t>
        </is>
      </c>
      <c r="N111" s="12" t="n"/>
      <c r="O111" s="12" t="n"/>
      <c r="P111" s="20" t="n">
        <v>0</v>
      </c>
      <c r="Q111" s="20" t="n">
        <v>82</v>
      </c>
      <c r="R111" s="22" t="inlineStr">
        <is>
          <t>Mod</t>
        </is>
      </c>
    </row>
    <row r="112">
      <c r="A112" s="10" t="inlineStr">
        <is>
          <t>RAWZ</t>
        </is>
      </c>
      <c r="B112" s="10" t="inlineStr">
        <is>
          <t>Dehydrated Chicken, Turkey &amp; Chicken (meal-free)</t>
        </is>
      </c>
      <c r="D112" s="10" t="n">
        <v>460</v>
      </c>
      <c r="E112" s="10" t="n">
        <v>40</v>
      </c>
      <c r="F112" s="10" t="inlineStr">
        <is>
          <t>Dehydrated Chicken, Dehydrated Deboned Chicken, Chicken, Turkey, Chicken Liver, Turkey Liver, Turkey Hearts, Pea Starch, Tapioca, Dried Peas, Natural Chicken Flavor, Dried Egg, Flaxseeds, Tomato Pomace</t>
        </is>
      </c>
      <c r="G112" s="10" t="inlineStr">
        <is>
          <t>fish-free; low-FODMAP-ish; 12% fat | RAWZ dry CRUMBLY/friable (dehydrated not extruded) - DUSTS badly in auto-feeder, leaves fragments. Evie lukewarm ~8/2: likely FORMAT problem (dust/crumbs, cf. her prior 'shape left crumbs' rejections) not turkey/flavor. Soft stool during fast transition - watching. Next fish-free dry should be HARD EXTRUDED (feeder-durable) + denser (480+) for wean.</t>
        </is>
      </c>
      <c r="H112" s="11" t="inlineStr">
        <is>
          <t>Y</t>
        </is>
      </c>
      <c r="J112" s="12" t="n">
        <v>2</v>
      </c>
      <c r="K112" s="14" t="inlineStr">
        <is>
          <t>Moderate</t>
        </is>
      </c>
      <c r="L112" s="12" t="n"/>
      <c r="M112" s="11" t="inlineStr">
        <is>
          <t>Y</t>
        </is>
      </c>
      <c r="N112" s="12" t="n"/>
      <c r="O112" s="12" t="n"/>
      <c r="P112" s="20" t="n">
        <v>0</v>
      </c>
      <c r="Q112" s="20" t="n">
        <v>95</v>
      </c>
      <c r="R112" s="21" t="inlineStr">
        <is>
          <t>High</t>
        </is>
      </c>
    </row>
    <row r="113">
      <c r="A113" s="10" t="inlineStr">
        <is>
          <t>Dr. Elsey's</t>
        </is>
      </c>
      <c r="B113" s="10" t="inlineStr">
        <is>
          <t>cleanprotein Salmon dry</t>
        </is>
      </c>
      <c r="D113" s="10" t="n">
        <v>451</v>
      </c>
      <c r="E113" s="10" t="n">
        <v>54</v>
      </c>
      <c r="F113" s="10" t="inlineStr">
        <is>
          <t>Salmon, Salmon Hydrolysate, Pork Plasma, Hydrolyzed Pork, Gelatin, Chicken Fat, Ground Flaxseed, Natural Flavor, Calcium Carbonate, Potassium Chloride, Choline Chloride, Fructooligosaccharides , vitamins, minerals</t>
        </is>
      </c>
      <c r="G113" s="10" t="inlineStr">
        <is>
          <t>54% protein multi-protein salmon+pork; FOS present</t>
        </is>
      </c>
      <c r="H113" s="12" t="n"/>
      <c r="J113" s="12" t="n">
        <v>5</v>
      </c>
      <c r="K113" s="13" t="inlineStr">
        <is>
          <t>Poor</t>
        </is>
      </c>
      <c r="L113" s="12" t="n"/>
      <c r="M113" s="12" t="n"/>
      <c r="N113" s="12" t="n"/>
      <c r="O113" s="12" t="n"/>
      <c r="P113" s="20" t="n">
        <v>0</v>
      </c>
      <c r="Q113" s="20" t="n">
        <v>100</v>
      </c>
      <c r="R113" s="21" t="inlineStr">
        <is>
          <t>High</t>
        </is>
      </c>
    </row>
    <row r="114">
      <c r="A114" s="10" t="inlineStr">
        <is>
          <t>Addiction</t>
        </is>
      </c>
      <c r="B114" s="10" t="inlineStr">
        <is>
          <t>Wild Islands Grasslands Lamb</t>
        </is>
      </c>
      <c r="D114" s="10" t="n">
        <v>460</v>
      </c>
      <c r="E114" s="10" t="n">
        <v>42</v>
      </c>
      <c r="F114" s="10" t="inlineStr">
        <is>
          <t>Lamb, Beef, Lamb Liver, Beef Tripe, Beef Meal, Chicken Meal, Peas, Eggs, Pea Protein, Flaxseed, Green-Lipped Mussel, Manuka Honey, Kiwifruit, Fava Beans, Tapioca</t>
        </is>
      </c>
      <c r="G114" s="10" t="inlineStr">
        <is>
          <t>42% protein</t>
        </is>
      </c>
      <c r="H114" s="11" t="inlineStr">
        <is>
          <t>Y</t>
        </is>
      </c>
      <c r="I114" s="14" t="inlineStr">
        <is>
          <t>Y</t>
        </is>
      </c>
      <c r="J114" s="12" t="n">
        <v>6</v>
      </c>
      <c r="K114" s="13" t="inlineStr">
        <is>
          <t>Poor</t>
        </is>
      </c>
      <c r="L114" s="12" t="n"/>
      <c r="M114" s="12" t="n"/>
      <c r="N114" s="12" t="n"/>
      <c r="O114" s="12" t="n"/>
      <c r="P114" s="20" t="n">
        <v>1</v>
      </c>
      <c r="Q114" s="20" t="n">
        <v>70</v>
      </c>
      <c r="R114" s="22" t="inlineStr">
        <is>
          <t>Mod</t>
        </is>
      </c>
    </row>
    <row r="115">
      <c r="A115" s="10" t="inlineStr">
        <is>
          <t>Addiction</t>
        </is>
      </c>
      <c r="B115" s="10" t="inlineStr">
        <is>
          <t>Wild Islands Provenance Venison</t>
        </is>
      </c>
      <c r="D115" s="10" t="n">
        <v>490</v>
      </c>
      <c r="E115" s="10" t="n">
        <v>42</v>
      </c>
      <c r="F115" s="10" t="inlineStr">
        <is>
          <t>Venison, Venison Heart, Venison Tripe, Chicken Meal, Beef Meal, Eggs, Peas, Brewers Dried Yeast, Pea Protein, Flaxseed, Green-Lipped Mussel, Manuka Honey, Kiwifruit, Beef Fat, Tapioca, Fava Beans</t>
        </is>
      </c>
      <c r="G115" s="10" t="inlineStr">
        <is>
          <t>42% protein</t>
        </is>
      </c>
      <c r="H115" s="11" t="inlineStr">
        <is>
          <t>Y</t>
        </is>
      </c>
      <c r="I115" s="14" t="inlineStr">
        <is>
          <t>Y</t>
        </is>
      </c>
      <c r="J115" s="12" t="n">
        <v>6</v>
      </c>
      <c r="K115" s="13" t="inlineStr">
        <is>
          <t>Poor</t>
        </is>
      </c>
      <c r="L115" s="12" t="n"/>
      <c r="M115" s="12" t="n"/>
      <c r="N115" s="12" t="n"/>
      <c r="O115" s="12" t="n"/>
      <c r="P115" s="20" t="n">
        <v>1</v>
      </c>
      <c r="Q115" s="20" t="n">
        <v>65</v>
      </c>
      <c r="R115" s="22" t="inlineStr">
        <is>
          <t>Mod</t>
        </is>
      </c>
    </row>
    <row r="116">
      <c r="A116" s="10" t="inlineStr">
        <is>
          <t>Feline Caviar</t>
        </is>
      </c>
      <c r="B116" s="10" t="inlineStr">
        <is>
          <t>Holistic Pre-Season Venison</t>
        </is>
      </c>
      <c r="D116" s="10" t="n">
        <v>599</v>
      </c>
      <c r="E116" s="10" t="n">
        <v>28</v>
      </c>
      <c r="F116" s="10" t="inlineStr">
        <is>
          <t>Venison Meal, Split Peas, Lamb Fat, Coconut, Sun-Cured Alfalfa, Coconut Oil, Sun-Cured Kelp, Sodium Chloride, Dried Lactobacillus Acidophilus, FOS</t>
        </is>
      </c>
      <c r="G116" s="10" t="inlineStr">
        <is>
          <t>densest but only 28% protein; FOS</t>
        </is>
      </c>
      <c r="H116" s="11" t="inlineStr">
        <is>
          <t>Y</t>
        </is>
      </c>
      <c r="J116" s="12" t="n">
        <v>7</v>
      </c>
      <c r="K116" s="12" t="inlineStr">
        <is>
          <t>Avoid</t>
        </is>
      </c>
      <c r="L116" s="14" t="inlineStr">
        <is>
          <t>Y</t>
        </is>
      </c>
      <c r="M116" s="11" t="inlineStr">
        <is>
          <t>Y</t>
        </is>
      </c>
      <c r="N116" s="12" t="n"/>
      <c r="O116" s="12" t="n"/>
      <c r="P116" s="20" t="n">
        <v>0</v>
      </c>
      <c r="Q116" s="20" t="n">
        <v>75</v>
      </c>
      <c r="R116" s="22" t="inlineStr">
        <is>
          <t>Mod</t>
        </is>
      </c>
    </row>
    <row r="117">
      <c r="A117" s="10" t="inlineStr">
        <is>
          <t>Nulo</t>
        </is>
      </c>
      <c r="B117" s="10" t="inlineStr">
        <is>
          <t>Raw Medley Chicken, Turkey &amp; Duck</t>
        </is>
      </c>
      <c r="D117" s="10" t="n">
        <v>429</v>
      </c>
      <c r="E117" s="10" t="n">
        <v>38</v>
      </c>
      <c r="F117" s="10" t="inlineStr">
        <is>
          <t>Deboned Chicken, Chicken Meal, Turkey Meal, Sweet Potato, Oats, Lentils, Ground Miscanthus Grass, Deboned Turkey, Deboned Duck, Chicken Fat, Spray-Dried Porcine Plasma, Freeze-Dried Chicken bits, Flaxseed, Chicory Root, Bacillus coagulans</t>
        </is>
      </c>
      <c r="G117" s="10" t="inlineStr">
        <is>
          <t>38% protein; legumes+chicory+probiotic</t>
        </is>
      </c>
      <c r="H117" s="11" t="inlineStr">
        <is>
          <t>Y</t>
        </is>
      </c>
      <c r="J117" s="12" t="n">
        <v>7</v>
      </c>
      <c r="K117" s="12" t="inlineStr">
        <is>
          <t>Avoid</t>
        </is>
      </c>
      <c r="L117" s="14" t="inlineStr">
        <is>
          <t>Y</t>
        </is>
      </c>
      <c r="M117" s="11" t="inlineStr">
        <is>
          <t>Y</t>
        </is>
      </c>
      <c r="N117" s="12" t="n"/>
      <c r="O117" s="12" t="n"/>
      <c r="P117" s="20" t="n">
        <v>0</v>
      </c>
      <c r="Q117" s="20" t="n">
        <v>93</v>
      </c>
      <c r="R117" s="21" t="inlineStr">
        <is>
          <t>High</t>
        </is>
      </c>
    </row>
    <row r="118">
      <c r="A118" s="10" t="inlineStr">
        <is>
          <t>Wellness CORE</t>
        </is>
      </c>
      <c r="B118" s="10" t="inlineStr">
        <is>
          <t>Digestion Salmon</t>
        </is>
      </c>
      <c r="D118" s="10" t="n">
        <v>434</v>
      </c>
      <c r="E118" s="10" t="n">
        <v>36</v>
      </c>
      <c r="F118" s="10" t="inlineStr">
        <is>
          <t>Salmon, Salmon Meal, Whitefish Meal, Oatmeal, Rice, Herring Meal, Chicken Fat, Barley, Dried Plain Beet Pulp, Flaxseed, Inulin, Hydrolyzed Yeast, probiotics x3, enzymes</t>
        </is>
      </c>
      <c r="G118" s="10" t="inlineStr">
        <is>
          <t>digestion-marketed - AVOID SIBO | 36% protein; inulin/beetpulp/probiotic</t>
        </is>
      </c>
      <c r="H118" s="12" t="n"/>
      <c r="J118" s="12" t="n">
        <v>7.5</v>
      </c>
      <c r="K118" s="12" t="inlineStr">
        <is>
          <t>Avoid</t>
        </is>
      </c>
      <c r="L118" s="12" t="n"/>
      <c r="M118" s="12" t="n"/>
      <c r="N118" s="12" t="n"/>
      <c r="O118" s="12" t="n"/>
      <c r="P118" s="20" t="n">
        <v>0</v>
      </c>
      <c r="Q118" s="20" t="n">
        <v>91</v>
      </c>
      <c r="R118" s="21" t="inlineStr">
        <is>
          <t>High</t>
        </is>
      </c>
    </row>
    <row r="119">
      <c r="A119" s="10" t="inlineStr">
        <is>
          <t>Tiki Cat</t>
        </is>
      </c>
      <c r="B119" s="10" t="inlineStr">
        <is>
          <t>Digestion (Lamb)</t>
        </is>
      </c>
      <c r="D119" s="10" t="n">
        <v>478</v>
      </c>
      <c r="E119" s="10" t="n">
        <v>40</v>
      </c>
      <c r="F119" s="10" t="inlineStr">
        <is>
          <t>Lamb, Herring Meal, Peas, Dried Egg Product, Lamb Meal, Canola Oil, Ground Miscanthus Grass, Inulin, Spinach, Yucca, Bacillus coagulans</t>
        </is>
      </c>
      <c r="G119" s="10" t="inlineStr">
        <is>
          <t>digestion-marketed - AVOID SIBO | 40% protein; peas+inulin+probiotic</t>
        </is>
      </c>
      <c r="H119" s="12" t="n"/>
      <c r="J119" s="12" t="n">
        <v>7</v>
      </c>
      <c r="K119" s="12" t="inlineStr">
        <is>
          <t>Avoid</t>
        </is>
      </c>
      <c r="L119" s="14" t="inlineStr">
        <is>
          <t>Y</t>
        </is>
      </c>
      <c r="M119" s="12" t="n"/>
      <c r="N119" s="12" t="n"/>
      <c r="O119" s="12" t="n"/>
      <c r="P119" s="20" t="n">
        <v>0</v>
      </c>
      <c r="Q119" s="20" t="n">
        <v>89</v>
      </c>
      <c r="R119" s="21" t="inlineStr">
        <is>
          <t>High</t>
        </is>
      </c>
    </row>
    <row r="120">
      <c r="A120" s="10" t="inlineStr">
        <is>
          <t>RAWZ</t>
        </is>
      </c>
      <c r="B120" s="10" t="inlineStr">
        <is>
          <t>Salmon, Chicken &amp; Whitefish (meal-free)</t>
        </is>
      </c>
      <c r="D120" s="10" t="n">
        <v>460</v>
      </c>
      <c r="E120" s="10" t="n">
        <v>40</v>
      </c>
      <c r="F120" s="10" t="inlineStr">
        <is>
          <t>Salmon, Dehydrated Deboned Chicken, Dehydrated Chicken, Whitefish, Turkey, Turkey Liver, Pea Starch, Dried Peas, Tapioca Starch, Dried Egg Product, Flaxseeds, Natural Chicken Flavor, Dried Tomato Pomace, Salt, Choline Chloride, Potassium Chloride, vitamins, minerals, Taurine, dl-Methionine, Rosemary Extract</t>
        </is>
      </c>
      <c r="G120" s="10" t="inlineStr">
        <is>
          <t>fish-based RAWZ for Mocha; 12% fat; meat-forward; peas only (no FOS/inulin)</t>
        </is>
      </c>
      <c r="H120" s="12" t="n"/>
      <c r="J120" s="10" t="n">
        <v>2</v>
      </c>
      <c r="K120" s="14" t="inlineStr">
        <is>
          <t>Moderate</t>
        </is>
      </c>
      <c r="M120" s="12" t="n"/>
      <c r="N120" s="12" t="n"/>
      <c r="O120" s="12" t="n"/>
      <c r="P120" s="20" t="n">
        <v>0</v>
      </c>
      <c r="Q120" s="20" t="n">
        <v>91</v>
      </c>
      <c r="R120" s="21" t="inlineStr">
        <is>
          <t>High</t>
        </is>
      </c>
    </row>
    <row r="121">
      <c r="A121" s="10" t="inlineStr">
        <is>
          <t>RAWZ</t>
        </is>
      </c>
      <c r="B121" s="10" t="inlineStr">
        <is>
          <t>10+ Essentials Turkey, Salmon &amp; Whitefish</t>
        </is>
      </c>
      <c r="D121" s="10" t="n">
        <v>447</v>
      </c>
      <c r="E121" s="10" t="n">
        <v>39</v>
      </c>
      <c r="F121" s="10" t="inlineStr">
        <is>
          <t>Turkey, Salmon, Chicken, Dehydrated Chicken, Dehydrated Whitefish, Dehydrated Turkey, Red Lentils, Chicken Liver, Chicken Heart, Sunflower Oil, Egg, Ground Flaxseed, Chickpeas, Tapioca Starch, Peas, Green Lentils, Navy Beans, Green Lipped Mussels, Chicken Bone Broth, Inulin, Dried Bacillus Coagulans Fermentation Product</t>
        </is>
      </c>
      <c r="G121" s="10" t="inlineStr">
        <is>
          <t>SENIOR line - lentils/chickpeas/beans + inulin + probiotic = FODMAP Avoid; NOT the clean meal-free line</t>
        </is>
      </c>
      <c r="H121" s="12" t="n"/>
      <c r="I121" s="14" t="inlineStr">
        <is>
          <t>Y</t>
        </is>
      </c>
      <c r="J121" s="10" t="n">
        <v>15</v>
      </c>
      <c r="K121" s="12" t="inlineStr">
        <is>
          <t>Avoid</t>
        </is>
      </c>
      <c r="L121" s="14" t="inlineStr">
        <is>
          <t>Y</t>
        </is>
      </c>
      <c r="M121" s="12" t="n"/>
      <c r="N121" s="12" t="n"/>
      <c r="O121" s="12" t="n"/>
      <c r="P121" s="20" t="n">
        <v>0</v>
      </c>
      <c r="Q121" s="20" t="n">
        <v>78</v>
      </c>
      <c r="R121" s="22" t="inlineStr">
        <is>
          <t>Mod</t>
        </is>
      </c>
    </row>
    <row r="122">
      <c r="A122" s="10" t="inlineStr">
        <is>
          <t>Natural Balance</t>
        </is>
      </c>
      <c r="B122" s="10" t="inlineStr">
        <is>
          <t>Ultra Protein+ Salmon &amp; Chicken Meal (Skin/Digestive)</t>
        </is>
      </c>
      <c r="D122" s="10" t="n">
        <v>390</v>
      </c>
      <c r="E122" s="10" t="n">
        <v>40</v>
      </c>
      <c r="F122" s="10" t="inlineStr">
        <is>
          <t>Salmon, Chicken Meal, Turkey Meal, Peas, Chickpeas, Dried Yeast, Chicken Fat, Pea Protein, Chicken Hearts, Pumpkin, Chicken Liver, Flaxseed, Menhaden Fish Meal, Dried Plain Beet Pulp, Menhaden Fish Oil, Dried Chicory Root, Dried Bacillus coagulans Fermentation Product</t>
        </is>
      </c>
      <c r="G122" s="10" t="inlineStr">
        <is>
          <t>peas+chickpeas+pea protein+chicory+beet pulp+probiotic = Avoid</t>
        </is>
      </c>
      <c r="H122" s="12" t="n"/>
      <c r="J122" s="10" t="n">
        <v>10.5</v>
      </c>
      <c r="K122" s="12" t="inlineStr">
        <is>
          <t>Avoid</t>
        </is>
      </c>
      <c r="L122" s="14" t="inlineStr">
        <is>
          <t>Y</t>
        </is>
      </c>
      <c r="M122" s="12" t="n"/>
      <c r="N122" s="12" t="n"/>
      <c r="O122" s="12" t="n"/>
      <c r="P122" s="20" t="n">
        <v>1</v>
      </c>
      <c r="Q122" s="20" t="n">
        <v>64</v>
      </c>
      <c r="R122" s="23" t="inlineStr">
        <is>
          <t>Low</t>
        </is>
      </c>
    </row>
    <row r="123">
      <c r="A123" s="10" t="inlineStr">
        <is>
          <t>Natural Balance</t>
        </is>
      </c>
      <c r="B123" s="10" t="inlineStr">
        <is>
          <t>Ultra Protein+ Chicken &amp; Chicken Meal (Immune/Digestive)</t>
        </is>
      </c>
      <c r="D123" s="10" t="n">
        <v>395</v>
      </c>
      <c r="E123" s="10" t="n">
        <v>40</v>
      </c>
      <c r="F123" s="10" t="inlineStr">
        <is>
          <t>Chicken, Chicken Meal, Turkey Meal, Peas, Chickpeas, Dried Yeast, Pumpkin, Pea Protein, Chicken Liver, Chicken Hearts, Chicken Fat, Flaxseed, Dried Chicory Root, Menhaden Fish Oil, Dried Plain Beet Pulp, Dried Bacillus coagulans Fermentation Product</t>
        </is>
      </c>
      <c r="G123" s="10" t="inlineStr">
        <is>
          <t>peas+chickpeas+pea protein+chicory+beet pulp+probiotic+menhaden oil = Avoid</t>
        </is>
      </c>
      <c r="H123" s="12" t="n"/>
      <c r="J123" s="10" t="n">
        <v>10.5</v>
      </c>
      <c r="K123" s="12" t="inlineStr">
        <is>
          <t>Avoid</t>
        </is>
      </c>
      <c r="L123" s="14" t="inlineStr">
        <is>
          <t>Y</t>
        </is>
      </c>
      <c r="M123" s="12" t="n"/>
      <c r="N123" s="12" t="n"/>
      <c r="O123" s="12" t="n"/>
      <c r="P123" s="20" t="n">
        <v>1</v>
      </c>
      <c r="Q123" s="20" t="n">
        <v>61</v>
      </c>
      <c r="R123" s="23" t="inlineStr">
        <is>
          <t>Low</t>
        </is>
      </c>
    </row>
    <row r="124">
      <c r="A124" s="10" t="inlineStr">
        <is>
          <t>FirstMate</t>
        </is>
      </c>
      <c r="B124" s="10" t="inlineStr">
        <is>
          <t>Pacific Ocean Fish Meal w/ Blueberries LID</t>
        </is>
      </c>
      <c r="D124" s="10" t="n">
        <v>560</v>
      </c>
      <c r="E124" s="10" t="n">
        <v>42</v>
      </c>
      <c r="F124" s="10" t="inlineStr">
        <is>
          <t>Pacific Ocean Fish Meal, Potato, Chicken Fat, Whole Blueberries, Phosphoric Acid, minerals, vitamins, Choline Chloride, Calcium Propionate, Kale, Yeast Extract, Dl-Methionine, Taurine, Rosemary Extract</t>
        </is>
      </c>
      <c r="G124" s="10" t="inlineStr">
        <is>
          <t>LID: fish meal + potato only, NO peas/legumes/chicory/inulin/FOS; only mild yeast-extract MOS. 42% ANIMAL protein. Catch: 560kcal DENSE - portion small on autofeeder</t>
        </is>
      </c>
      <c r="H124" s="12" t="n"/>
      <c r="J124" s="10" t="n">
        <v>1</v>
      </c>
      <c r="K124" s="15" t="inlineStr">
        <is>
          <t>Good</t>
        </is>
      </c>
      <c r="M124" s="12" t="n"/>
      <c r="N124" s="12" t="n"/>
      <c r="O124" s="12" t="n"/>
      <c r="P124" s="20" t="n">
        <v>0</v>
      </c>
      <c r="Q124" s="20" t="n">
        <v>86</v>
      </c>
      <c r="R124" s="21" t="inlineStr">
        <is>
          <t>High</t>
        </is>
      </c>
    </row>
    <row r="125">
      <c r="A125" s="10" t="inlineStr">
        <is>
          <t>FirstMate</t>
        </is>
      </c>
      <c r="B125" s="10" t="inlineStr">
        <is>
          <t>Chicken Meal w/ Blueberries LID</t>
        </is>
      </c>
      <c r="D125" s="10" t="n">
        <v>540</v>
      </c>
      <c r="E125" s="10" t="n">
        <v>36</v>
      </c>
      <c r="F125" s="10" t="inlineStr">
        <is>
          <t>Chicken Meal, Potato, Chicken Fat, Whole Blueberries, Phosphoric Acid, Dl-Methionine, minerals, vitamins, Choline Chloride, Potassium Chloride, Calcium Propionate, Taurine, Yeast Extract, Kale, Rosemary Extract</t>
        </is>
      </c>
      <c r="G125" s="10" t="inlineStr">
        <is>
          <t>LID chicken+potato, FISH-FREE, no legumes/chicory/FOS; only yeast-extract MOS. 36% protein, 540kcal dense | QUEUED for Evie: beats RAWZ on FODMAP(Good vs Mod), density(540 vs 460, better for mirtazapine wean), extruded(should dispense clean, no RAWZ dust), 5-ingr LID. UNKNOWN: palatability - trial small bag. Watch kibble shape/texture (her history of snubbing crumbs).</t>
        </is>
      </c>
      <c r="H125" s="11" t="inlineStr">
        <is>
          <t>Y</t>
        </is>
      </c>
      <c r="J125" s="10" t="n">
        <v>1</v>
      </c>
      <c r="K125" s="15" t="inlineStr">
        <is>
          <t>Good</t>
        </is>
      </c>
      <c r="M125" s="11" t="inlineStr">
        <is>
          <t>Y</t>
        </is>
      </c>
      <c r="N125" s="12" t="n"/>
      <c r="O125" s="12" t="n"/>
      <c r="P125" s="20" t="n">
        <v>0</v>
      </c>
      <c r="Q125" s="20" t="n">
        <v>88</v>
      </c>
      <c r="R125" s="21" t="inlineStr">
        <is>
          <t>High</t>
        </is>
      </c>
    </row>
    <row r="126">
      <c r="A126" s="10" t="inlineStr">
        <is>
          <t>Young Again</t>
        </is>
      </c>
      <c r="B126" s="10" t="inlineStr">
        <is>
          <t>Zero (Original) High Protein</t>
        </is>
      </c>
      <c r="D126" s="10" t="n">
        <v>650</v>
      </c>
      <c r="E126" s="10" t="n">
        <v>54</v>
      </c>
      <c r="F126" s="10" t="inlineStr">
        <is>
          <t>Chicken Meal, Pork Protein Concentrate, Poultry Fat, Fish Oil, Herring Meal, Cellulose, Fructooligosaccharides, Natural Chicken Flavor, L-Lysine, Guar Gum, DL-Methionine, Yeast, Taurine, vitamins, minerals</t>
        </is>
      </c>
      <c r="G126" s="10" t="inlineStr">
        <is>
          <t>(low-carb) / Mocha-FOS | &lt;1% carb, 100% animal protein, NO legumes/peas - but HAS FOS + 26% fat + 650kcal dense. Great for Latte(low-carb); FOS+fat+density poor for Mocha SIBO/weight</t>
        </is>
      </c>
      <c r="H126" s="12" t="n"/>
      <c r="J126" s="10" t="n">
        <v>5</v>
      </c>
      <c r="K126" s="13" t="inlineStr">
        <is>
          <t>Poor</t>
        </is>
      </c>
      <c r="M126" s="12" t="n"/>
      <c r="N126" s="12" t="n"/>
      <c r="O126" s="12" t="n"/>
      <c r="P126" s="20" t="n">
        <v>0</v>
      </c>
      <c r="Q126" s="20" t="n">
        <v>90</v>
      </c>
      <c r="R126" s="21" t="inlineStr">
        <is>
          <t>High</t>
        </is>
      </c>
    </row>
    <row r="127">
      <c r="A127" s="10" t="inlineStr">
        <is>
          <t>Young Again</t>
        </is>
      </c>
      <c r="B127" s="10" t="inlineStr">
        <is>
          <t>50/22 Multi-Cat High Protein</t>
        </is>
      </c>
      <c r="D127" s="10" t="n">
        <v>590</v>
      </c>
      <c r="E127" s="10" t="n">
        <v>50</v>
      </c>
      <c r="F127" s="10" t="inlineStr">
        <is>
          <t>Chicken Meal, Pork Protein Concentrate, Chicken Fat, Potato Starch, Chicken Liver Flavor, Fish Oil, Fructooligosaccharides, Guar Gum, Taurine, vitamins, minerals</t>
        </is>
      </c>
      <c r="G127" s="10" t="inlineStr">
        <is>
          <t>(low-carb) | 50% animal protein, low-carb, no legumes; HAS FOS + potato starch; 22% fat; 590kcal dense</t>
        </is>
      </c>
      <c r="H127" s="12" t="n"/>
      <c r="J127" s="10" t="n">
        <v>5</v>
      </c>
      <c r="K127" s="13" t="inlineStr">
        <is>
          <t>Poor</t>
        </is>
      </c>
      <c r="M127" s="12" t="n"/>
      <c r="N127" s="12" t="n"/>
      <c r="O127" s="12" t="n"/>
      <c r="P127" s="20" t="n">
        <v>0</v>
      </c>
      <c r="Q127" s="20" t="n">
        <v>100</v>
      </c>
      <c r="R127" s="21" t="inlineStr">
        <is>
          <t>High</t>
        </is>
      </c>
    </row>
    <row r="128">
      <c r="A128" s="10" t="inlineStr">
        <is>
          <t>ACANA</t>
        </is>
      </c>
      <c r="B128" s="10" t="inlineStr">
        <is>
          <t>Wild Atlantic Saltwater Fish</t>
        </is>
      </c>
      <c r="D128" s="10" t="n">
        <v>443</v>
      </c>
      <c r="E128" s="10" t="n">
        <v>36</v>
      </c>
      <c r="F128" s="10" t="inlineStr">
        <is>
          <t>Whole Whiting, Haddock, Whole Herring, Acadian Redfish, Mackerel Meal, Herring Meal, Whole Red Lentils, Whole Pinto Beans, Sardine Meal, Pollock Meal, Fish Oil, Whole Green Lentils, Whole Chickpeas, Pea Starch, Lentil Fiber, Dried Chicory Root, Dried Lactobacillus Acidophilus Fermentation Product, Dried Bifidobacterium Animalis Fermentation Product</t>
        </is>
      </c>
      <c r="H128" s="12" t="n"/>
      <c r="J128" s="10" t="n">
        <v>13</v>
      </c>
      <c r="K128" s="12" t="inlineStr">
        <is>
          <t>Avoid</t>
        </is>
      </c>
      <c r="L128" s="14" t="inlineStr">
        <is>
          <t>Y</t>
        </is>
      </c>
      <c r="M128" s="12" t="n"/>
      <c r="N128" s="12" t="n"/>
      <c r="O128" s="12" t="n"/>
      <c r="P128" s="20" t="n">
        <v>0</v>
      </c>
      <c r="Q128" s="20" t="n">
        <v>76</v>
      </c>
      <c r="R128" s="22" t="inlineStr">
        <is>
          <t>Mod</t>
        </is>
      </c>
    </row>
    <row r="129">
      <c r="A129" s="10" t="inlineStr">
        <is>
          <t>ACANA</t>
        </is>
      </c>
      <c r="B129" s="10" t="inlineStr">
        <is>
          <t>Bountiful Catch Salmon Catfish &amp; Herring</t>
        </is>
      </c>
      <c r="D129" s="10" t="n">
        <v>433</v>
      </c>
      <c r="E129" s="10" t="n">
        <v>33</v>
      </c>
      <c r="F129" s="10" t="inlineStr">
        <is>
          <t>Salmon, Salmon Meal, Catfish Meal, Oatmeal, Whole Peas, Catfish Oil, Whole Green Lentils, Whole Herring, Whole Chickpeas, Catfish, Lentil Fiber, Dried Lactobacillus Acidophilus Fermentation Product, Dried Bifidobacterium Animalis Fermentation Product</t>
        </is>
      </c>
      <c r="H129" s="12" t="n"/>
      <c r="J129" s="10" t="n">
        <v>6</v>
      </c>
      <c r="K129" s="13" t="inlineStr">
        <is>
          <t>Poor</t>
        </is>
      </c>
      <c r="L129" s="14" t="inlineStr">
        <is>
          <t>Y</t>
        </is>
      </c>
      <c r="M129" s="12" t="n"/>
      <c r="N129" s="12" t="n"/>
      <c r="O129" s="12" t="n"/>
      <c r="P129" s="20" t="n">
        <v>0</v>
      </c>
      <c r="Q129" s="20" t="n">
        <v>75</v>
      </c>
      <c r="R129" s="22" t="inlineStr">
        <is>
          <t>Mod</t>
        </is>
      </c>
    </row>
    <row r="130">
      <c r="A130" s="10" t="inlineStr">
        <is>
          <t>ACANA</t>
        </is>
      </c>
      <c r="B130" s="10" t="inlineStr">
        <is>
          <t>Meadowlands Chicken Turkey Fish &amp; Eggs</t>
        </is>
      </c>
      <c r="D130" s="10" t="n">
        <v>439</v>
      </c>
      <c r="E130" s="10" t="n">
        <v>36</v>
      </c>
      <c r="F130" s="10" t="inlineStr">
        <is>
          <t>Deboned Chicken, Deboned Turkey, Chicken Liver, Chicken Meal, Catfish Meal, Pollock Meal, Whole Red Lentils, Whole Pinto Beans, Chicken Fat, Pea Starch, Whole Green Lentils, Whole Chickpeas, Rainbow Trout, Lentil Fiber, Chicory Root, Dried Lactobacillus Acidophilus Fermentation Product</t>
        </is>
      </c>
      <c r="H130" s="12" t="n"/>
      <c r="J130" s="10" t="n">
        <v>13</v>
      </c>
      <c r="K130" s="12" t="inlineStr">
        <is>
          <t>Avoid</t>
        </is>
      </c>
      <c r="L130" s="14" t="inlineStr">
        <is>
          <t>Y</t>
        </is>
      </c>
      <c r="M130" s="12" t="n"/>
      <c r="N130" s="12" t="n"/>
      <c r="O130" s="12" t="n"/>
      <c r="P130" s="20" t="n">
        <v>0</v>
      </c>
      <c r="Q130" s="20" t="n">
        <v>74</v>
      </c>
      <c r="R130" s="22" t="inlineStr">
        <is>
          <t>Mod</t>
        </is>
      </c>
    </row>
    <row r="131">
      <c r="A131" s="10" t="inlineStr">
        <is>
          <t>ACANA</t>
        </is>
      </c>
      <c r="B131" s="10" t="inlineStr">
        <is>
          <t>Grasslands Chicken Duck Turkey Fish Quail</t>
        </is>
      </c>
      <c r="D131" s="10" t="n">
        <v>439</v>
      </c>
      <c r="E131" s="10" t="n">
        <v>36</v>
      </c>
      <c r="F131" s="10" t="inlineStr">
        <is>
          <t>Deboned Duck, Deboned Chicken, Eggs, Chicken Meal, Turkey Meal, Catfish Meal, Whole Red Lentils, Whole Pinto Beans, Duck Fat, Pea Starch, Whole Green Lentils, Whole Chickpeas, Lentil Fiber, Chicory Root, Dried Lactobacillus Acidophilus Fermentation Product</t>
        </is>
      </c>
      <c r="H131" s="12" t="n"/>
      <c r="J131" s="10" t="n">
        <v>13</v>
      </c>
      <c r="K131" s="12" t="inlineStr">
        <is>
          <t>Avoid</t>
        </is>
      </c>
      <c r="L131" s="14" t="inlineStr">
        <is>
          <t>Y</t>
        </is>
      </c>
      <c r="M131" s="12" t="n"/>
      <c r="N131" s="12" t="n"/>
      <c r="O131" s="12" t="n"/>
      <c r="P131" s="20" t="n">
        <v>0</v>
      </c>
      <c r="Q131" s="20" t="n">
        <v>78</v>
      </c>
      <c r="R131" s="22" t="inlineStr">
        <is>
          <t>Mod</t>
        </is>
      </c>
    </row>
    <row r="132">
      <c r="A132" s="10" t="inlineStr">
        <is>
          <t>ACANA</t>
        </is>
      </c>
      <c r="B132" s="10" t="inlineStr">
        <is>
          <t>Indoor Entree Chicken Turkey Herring Rabbit</t>
        </is>
      </c>
      <c r="D132" s="10" t="n">
        <v>414</v>
      </c>
      <c r="E132" s="10" t="n">
        <v>36</v>
      </c>
      <c r="F132" s="10" t="inlineStr">
        <is>
          <t>Deboned Chicken, Chicken Meal, Herring Meal, Oatmeal, Whole Peas, Chicken Fat, Ground Miscanthus Grass, Deboned Turkey, Whole Green Lentils, Whole Chickpeas, Whole Herring, Lentil Fiber, Deboned Rabbit, Dried Lactobacillus Acidophilus Fermentation Product</t>
        </is>
      </c>
      <c r="H132" s="12" t="n"/>
      <c r="J132" s="10" t="n">
        <v>6</v>
      </c>
      <c r="K132" s="13" t="inlineStr">
        <is>
          <t>Poor</t>
        </is>
      </c>
      <c r="L132" s="14" t="inlineStr">
        <is>
          <t>Y</t>
        </is>
      </c>
      <c r="M132" s="12" t="n"/>
      <c r="N132" s="12" t="n"/>
      <c r="O132" s="12" t="n"/>
      <c r="P132" s="20" t="n">
        <v>0</v>
      </c>
      <c r="Q132" s="20" t="n">
        <v>77</v>
      </c>
      <c r="R132" s="22" t="inlineStr">
        <is>
          <t>Mod</t>
        </is>
      </c>
    </row>
    <row r="133">
      <c r="A133" s="10" t="inlineStr">
        <is>
          <t>ACANA</t>
        </is>
      </c>
      <c r="B133" s="10" t="inlineStr">
        <is>
          <t>Indoor Cat Highest Protein</t>
        </is>
      </c>
      <c r="D133" s="10" t="n">
        <v>428</v>
      </c>
      <c r="E133" s="10" t="n">
        <v>38</v>
      </c>
      <c r="F133" s="10" t="inlineStr">
        <is>
          <t>Chicken, Trout, Salmon, Chicken Meal, Pollock Meal, Herring Meal, Whole Red Lentils, Whole Pinto Beans, Chicken Liver, Whole Green Lentils, Whole Chickpeas, Pea Starch, Ground Miscanthus Grass, Pea Fiber, Fish Oil, Dried Chicory Root, Dried Lactobacillus Acidophilus Fermentation Product</t>
        </is>
      </c>
      <c r="H133" s="12" t="n"/>
      <c r="J133" s="10" t="n">
        <v>13</v>
      </c>
      <c r="K133" s="12" t="inlineStr">
        <is>
          <t>Avoid</t>
        </is>
      </c>
      <c r="L133" s="14" t="inlineStr">
        <is>
          <t>Y</t>
        </is>
      </c>
      <c r="M133" s="12" t="n"/>
      <c r="N133" s="12" t="n"/>
      <c r="O133" s="12" t="n"/>
      <c r="P133" s="20" t="n">
        <v>0</v>
      </c>
      <c r="Q133" s="20" t="n">
        <v>77</v>
      </c>
      <c r="R133" s="22" t="inlineStr">
        <is>
          <t>Mod</t>
        </is>
      </c>
    </row>
    <row r="134">
      <c r="A134" s="10" t="inlineStr">
        <is>
          <t>ACANA</t>
        </is>
      </c>
      <c r="B134" s="10" t="inlineStr">
        <is>
          <t>Indoor Entree Fish</t>
        </is>
      </c>
      <c r="D134" s="10" t="n">
        <v>428</v>
      </c>
      <c r="E134" s="10" t="n">
        <v>34</v>
      </c>
      <c r="F134" s="10" t="inlineStr">
        <is>
          <t>Whole Herring, Salmon Meal, Chicken Meal, Oat Groats, Whole Peas, Chicken Fat, Ground Miscanthus Grass, Salmon, Whole Green Lentils, Whole Chickpeas, Pea Fiber, Dried Lactobacillus Acidophilus Fermentation Product</t>
        </is>
      </c>
      <c r="H134" s="12" t="n"/>
      <c r="J134" s="10" t="n">
        <v>6</v>
      </c>
      <c r="K134" s="13" t="inlineStr">
        <is>
          <t>Poor</t>
        </is>
      </c>
      <c r="L134" s="14" t="inlineStr">
        <is>
          <t>Y</t>
        </is>
      </c>
      <c r="M134" s="12" t="n"/>
      <c r="N134" s="12" t="n"/>
      <c r="O134" s="12" t="n"/>
      <c r="P134" s="20" t="n">
        <v>0</v>
      </c>
      <c r="Q134" s="20" t="n">
        <v>81</v>
      </c>
      <c r="R134" s="22" t="inlineStr">
        <is>
          <t>Mod</t>
        </is>
      </c>
    </row>
    <row r="135">
      <c r="A135" s="10" t="inlineStr">
        <is>
          <t>CANIDAE</t>
        </is>
      </c>
      <c r="B135" s="10" t="inlineStr">
        <is>
          <t>Pure LID Chicken</t>
        </is>
      </c>
      <c r="D135" s="10" t="n">
        <v>482</v>
      </c>
      <c r="E135" s="10" t="n">
        <v>35</v>
      </c>
      <c r="F135" s="10" t="inlineStr">
        <is>
          <t>Chicken, Chicken Meal, Turkey Meal, Potatoes, Peas, Chicken Fat, Lamb Meal, Menhaden Fish Meal, Salmon Oil, Dried Enterococcus Faecium Fermentation Product, Dried Lactobacillus Acidophilus Fermentation Product</t>
        </is>
      </c>
      <c r="H135" s="12" t="n"/>
      <c r="J135" s="10" t="n">
        <v>2</v>
      </c>
      <c r="K135" s="14" t="inlineStr">
        <is>
          <t>Moderate</t>
        </is>
      </c>
      <c r="L135" s="14" t="inlineStr">
        <is>
          <t>Y</t>
        </is>
      </c>
      <c r="M135" s="12" t="n"/>
      <c r="N135" s="12" t="n"/>
      <c r="O135" s="12" t="n"/>
      <c r="P135" s="20" t="n">
        <v>0</v>
      </c>
      <c r="Q135" s="20" t="n">
        <v>94</v>
      </c>
      <c r="R135" s="21" t="inlineStr">
        <is>
          <t>High</t>
        </is>
      </c>
    </row>
    <row r="136">
      <c r="A136" s="10" t="inlineStr">
        <is>
          <t>CANIDAE</t>
        </is>
      </c>
      <c r="B136" s="10" t="inlineStr">
        <is>
          <t>Pure LID Salmon</t>
        </is>
      </c>
      <c r="D136" s="10" t="n">
        <v>480</v>
      </c>
      <c r="E136" s="10" t="n">
        <v>32</v>
      </c>
      <c r="F136" s="10" t="inlineStr">
        <is>
          <t>Salmon, Salmon Meal, Menhaden Fish Meal, Potatoes, Peas, Canola Oil, Sweet Potatoes, Dried Enterococcus Faecium Fermentation Product, Dried Lactobacillus Acidophilus Fermentation Product</t>
        </is>
      </c>
      <c r="H136" s="12" t="n"/>
      <c r="J136" s="10" t="n">
        <v>2</v>
      </c>
      <c r="K136" s="14" t="inlineStr">
        <is>
          <t>Moderate</t>
        </is>
      </c>
      <c r="L136" s="14" t="inlineStr">
        <is>
          <t>Y</t>
        </is>
      </c>
      <c r="M136" s="12" t="n"/>
      <c r="N136" s="12" t="n"/>
      <c r="O136" s="12" t="n"/>
      <c r="P136" s="20" t="n">
        <v>0</v>
      </c>
      <c r="Q136" s="20" t="n">
        <v>90</v>
      </c>
      <c r="R136" s="21" t="inlineStr">
        <is>
          <t>High</t>
        </is>
      </c>
    </row>
    <row r="137">
      <c r="A137" s="10" t="inlineStr">
        <is>
          <t>Solid Gold</t>
        </is>
      </c>
      <c r="B137" s="10" t="inlineStr">
        <is>
          <t>High Protein Chicken &amp; Eggs</t>
        </is>
      </c>
      <c r="D137" s="10" t="n">
        <v>475</v>
      </c>
      <c r="E137" s="10" t="n">
        <v>42</v>
      </c>
      <c r="F137" s="10" t="inlineStr">
        <is>
          <t>Chicken, Ocean Fish Meal, Potatoes, Canola Oil, Peas, Dried Eggs, Carrots, Pumpkin, Cranberries, Blueberries, Salmon Oil, Dried Chicory Root, Dried Bacillus Coagulans Fermentation Product</t>
        </is>
      </c>
      <c r="H137" s="12" t="n"/>
      <c r="J137" s="10" t="n">
        <v>7</v>
      </c>
      <c r="K137" s="12" t="inlineStr">
        <is>
          <t>Avoid</t>
        </is>
      </c>
      <c r="L137" s="14" t="inlineStr">
        <is>
          <t>Y</t>
        </is>
      </c>
      <c r="M137" s="12" t="n"/>
      <c r="N137" s="12" t="n"/>
      <c r="O137" s="12" t="n"/>
      <c r="P137" s="20" t="n">
        <v>0</v>
      </c>
      <c r="Q137" s="20" t="n">
        <v>89</v>
      </c>
      <c r="R137" s="21" t="inlineStr">
        <is>
          <t>High</t>
        </is>
      </c>
    </row>
    <row r="138">
      <c r="A138" s="10" t="inlineStr">
        <is>
          <t>Solid Gold</t>
        </is>
      </c>
      <c r="B138" s="10" t="inlineStr">
        <is>
          <t>High Protein Pollock &amp; Eggs</t>
        </is>
      </c>
      <c r="D138" s="10" t="n">
        <v>485</v>
      </c>
      <c r="E138" s="10" t="n">
        <v>42</v>
      </c>
      <c r="F138" s="10" t="inlineStr">
        <is>
          <t>Ocean Fish Meal, Chicken Meal, Peas, Chicken Fat, Pea Protein, Pollock, Tapioca, Dried Eggs, Ground Flaxseed, Carrots, Pumpkin, Salmon Oil, Dried Chicory Root, Dried Bacillus Coagulans Fermentation Product</t>
        </is>
      </c>
      <c r="H138" s="12" t="n"/>
      <c r="J138" s="10" t="n">
        <v>7</v>
      </c>
      <c r="K138" s="12" t="inlineStr">
        <is>
          <t>Avoid</t>
        </is>
      </c>
      <c r="L138" s="14" t="inlineStr">
        <is>
          <t>Y</t>
        </is>
      </c>
      <c r="M138" s="12" t="n"/>
      <c r="N138" s="12" t="n"/>
      <c r="O138" s="12" t="n"/>
      <c r="P138" s="20" t="n">
        <v>1</v>
      </c>
      <c r="Q138" s="20" t="n">
        <v>75</v>
      </c>
      <c r="R138" s="22" t="inlineStr">
        <is>
          <t>Mod</t>
        </is>
      </c>
    </row>
    <row r="139">
      <c r="A139" s="10" t="inlineStr">
        <is>
          <t>Solid Gold</t>
        </is>
      </c>
      <c r="B139" s="10" t="inlineStr">
        <is>
          <t>Salmon Lentil &amp; Apple Indoor</t>
        </is>
      </c>
      <c r="D139" s="10" t="n">
        <v>435</v>
      </c>
      <c r="E139" s="10" t="n">
        <v>36</v>
      </c>
      <c r="F139" s="10" t="inlineStr">
        <is>
          <t>Salmon, Salmon Meal, Turkey Meal, Lentils, Peas, Pea Fiber, Chicken Fat, Pea Protein, Ocean Fish Meal, Apples, Dried Chicory Root, Dried Bacillus Coagulans Fermentation Product</t>
        </is>
      </c>
      <c r="H139" s="12" t="n"/>
      <c r="J139" s="10" t="n">
        <v>9</v>
      </c>
      <c r="K139" s="12" t="inlineStr">
        <is>
          <t>Avoid</t>
        </is>
      </c>
      <c r="L139" s="14" t="inlineStr">
        <is>
          <t>Y</t>
        </is>
      </c>
      <c r="M139" s="12" t="n"/>
      <c r="N139" s="12" t="n"/>
      <c r="O139" s="12" t="n"/>
      <c r="P139" s="20" t="n">
        <v>1</v>
      </c>
      <c r="Q139" s="20" t="n">
        <v>70</v>
      </c>
      <c r="R139" s="22" t="inlineStr">
        <is>
          <t>Mod</t>
        </is>
      </c>
    </row>
    <row r="140">
      <c r="A140" s="10" t="inlineStr">
        <is>
          <t>Solid Gold</t>
        </is>
      </c>
      <c r="B140" s="10" t="inlineStr">
        <is>
          <t>Chicken Lentil &amp; Apple Indoor</t>
        </is>
      </c>
      <c r="D140" s="10" t="n">
        <v>425</v>
      </c>
      <c r="E140" s="10" t="n">
        <v>36</v>
      </c>
      <c r="F140" s="10" t="inlineStr">
        <is>
          <t>Chicken, Chicken Meal, Turkey Meal, Lentils, Peas, Ocean Fish Meal, Pea Protein, Chicken Fat, Pea Fiber, Apples, Dried Chicory Root, Dried Bacillus Coagulans Fermentation Product</t>
        </is>
      </c>
      <c r="H140" s="12" t="n"/>
      <c r="J140" s="10" t="n">
        <v>9</v>
      </c>
      <c r="K140" s="12" t="inlineStr">
        <is>
          <t>Avoid</t>
        </is>
      </c>
      <c r="L140" s="14" t="inlineStr">
        <is>
          <t>Y</t>
        </is>
      </c>
      <c r="M140" s="12" t="n"/>
      <c r="N140" s="12" t="n"/>
      <c r="O140" s="12" t="n"/>
      <c r="P140" s="20" t="n">
        <v>1</v>
      </c>
      <c r="Q140" s="20" t="n">
        <v>70</v>
      </c>
      <c r="R140" s="22" t="inlineStr">
        <is>
          <t>Mod</t>
        </is>
      </c>
    </row>
    <row r="141">
      <c r="A141" s="10" t="inlineStr">
        <is>
          <t>Wellness CORE+</t>
        </is>
      </c>
      <c r="B141" s="10" t="inlineStr">
        <is>
          <t>Hairball Chicken</t>
        </is>
      </c>
      <c r="D141" s="10" t="n">
        <v>425</v>
      </c>
      <c r="E141" s="10" t="n">
        <v>35</v>
      </c>
      <c r="F141" s="10" t="inlineStr">
        <is>
          <t>Deboned Chicken, Chicken Meal, Peas, Pea Fiber, Dried Plain Beet Pulp, Ground Miscanthus Grass, Chicken Fat, Flaxseed, Cranberries, Dried Chicory Root, Hydrolyzed Yeast, Dried Enterococcus faecium Fermentation Product</t>
        </is>
      </c>
      <c r="H141" s="11" t="inlineStr">
        <is>
          <t>Y</t>
        </is>
      </c>
      <c r="J141" s="10" t="n">
        <v>9.5</v>
      </c>
      <c r="K141" s="12" t="inlineStr">
        <is>
          <t>Avoid</t>
        </is>
      </c>
      <c r="L141" s="14" t="inlineStr">
        <is>
          <t>Y</t>
        </is>
      </c>
      <c r="M141" s="11" t="inlineStr">
        <is>
          <t>Y</t>
        </is>
      </c>
      <c r="N141" s="12" t="n"/>
      <c r="O141" s="12" t="n"/>
      <c r="P141" s="20" t="n">
        <v>0</v>
      </c>
      <c r="Q141" s="20" t="n">
        <v>70</v>
      </c>
      <c r="R141" s="22" t="inlineStr">
        <is>
          <t>Mod</t>
        </is>
      </c>
    </row>
    <row r="142">
      <c r="A142" s="10" t="inlineStr">
        <is>
          <t>Wellness CORE+</t>
        </is>
      </c>
      <c r="B142" s="10" t="inlineStr">
        <is>
          <t>Healthy Weight Poultry</t>
        </is>
      </c>
      <c r="D142" s="10" t="n">
        <v>395</v>
      </c>
      <c r="E142" s="10" t="n">
        <v>40</v>
      </c>
      <c r="F142" s="10" t="inlineStr">
        <is>
          <t>Deboned Chicken, Chicken Meal, Peas, Turkey Meal, Pea Protein, Dried Plain Beet Pulp, Ground Miscanthus Grass, Dried Ground Potatoes, Chicken Fat, Cranberries, Dried Chicory Root, Hydrolyzed Yeast, Dried Enterococcus Faecium Fermentation Product</t>
        </is>
      </c>
      <c r="H142" s="11" t="inlineStr">
        <is>
          <t>Y</t>
        </is>
      </c>
      <c r="J142" s="10" t="n">
        <v>9.5</v>
      </c>
      <c r="K142" s="12" t="inlineStr">
        <is>
          <t>Avoid</t>
        </is>
      </c>
      <c r="L142" s="14" t="inlineStr">
        <is>
          <t>Y</t>
        </is>
      </c>
      <c r="M142" s="11" t="inlineStr">
        <is>
          <t>Y</t>
        </is>
      </c>
      <c r="N142" s="12" t="n"/>
      <c r="O142" s="12" t="n"/>
      <c r="P142" s="20" t="n">
        <v>1</v>
      </c>
      <c r="Q142" s="20" t="n">
        <v>60</v>
      </c>
      <c r="R142" s="23" t="inlineStr">
        <is>
          <t>Low</t>
        </is>
      </c>
    </row>
    <row r="143">
      <c r="A143" s="10" t="inlineStr">
        <is>
          <t>Young Again</t>
        </is>
      </c>
      <c r="B143" s="10" t="inlineStr">
        <is>
          <t>TruCarnivore Sensitive Stomach Mature 57/22</t>
        </is>
      </c>
      <c r="D143" s="10" t="n">
        <v>556</v>
      </c>
      <c r="E143" s="10" t="n">
        <v>57</v>
      </c>
      <c r="F143" s="10" t="inlineStr">
        <is>
          <t>Hydrolyzed Pork Protein, Beef Fat, Citrus Fiber, Psyllium Husk, Pork Digest, Brewers Dried Yeast, Yeast Extract, L-Lysine, Marine Microalgae (DHA), Fructooligosaccharides, L-Carnitine, Dried Enterococcus Faecium Fermentation Extract, Dried Lactobacillus Acidophilus Fermentation Product, Dried Aspergillus Oryzae Fermentation Extract</t>
        </is>
      </c>
      <c r="G143" s="10" t="inlineStr">
        <is>
          <t>FISH-FREE (algae DHA not fish oil) - EVIE dense option 556kcal for wean, extruded. NOT Mocha (FOS+probiotic+22% fat+hydrolyzed). Palatability unknown; direct-order brand</t>
        </is>
      </c>
      <c r="H143" s="11" t="inlineStr">
        <is>
          <t>Y</t>
        </is>
      </c>
      <c r="J143" s="10" t="n">
        <v>6</v>
      </c>
      <c r="K143" s="13" t="inlineStr">
        <is>
          <t>Poor</t>
        </is>
      </c>
      <c r="L143" s="14" t="inlineStr">
        <is>
          <t>Y</t>
        </is>
      </c>
      <c r="M143" s="11" t="inlineStr">
        <is>
          <t>Y</t>
        </is>
      </c>
      <c r="N143" s="12" t="n"/>
      <c r="O143" s="12" t="n"/>
      <c r="P143" s="20" t="n">
        <v>0</v>
      </c>
      <c r="Q143" s="20" t="n">
        <v>75</v>
      </c>
      <c r="R143" s="22" t="inlineStr">
        <is>
          <t>Mod</t>
        </is>
      </c>
    </row>
    <row r="144">
      <c r="A144" s="10" t="inlineStr">
        <is>
          <t>Young Again</t>
        </is>
      </c>
      <c r="B144" s="10" t="inlineStr">
        <is>
          <t>LID Zero Mature 54/25</t>
        </is>
      </c>
      <c r="D144" s="10" t="n">
        <v>645</v>
      </c>
      <c r="E144" s="10" t="n">
        <v>54</v>
      </c>
      <c r="F144" s="10" t="inlineStr">
        <is>
          <t>Hydrolyzed Pork Protein, Chicken Fat, Hydrolyzed Yeast Flavoring, Guar Gum, L-Lysine, Fish Oil, Psyllium Husk, Brewers Yeast, Fructooligosaccharides, Dried Aspergillus oryzae Fermentation Extract, Dehydrated Pediococcus Acidilactici Fermentation Product</t>
        </is>
      </c>
      <c r="G144" s="10" t="inlineStr">
        <is>
          <t>HAS FISH OIL (fails Evie) + FOS + probiotic + 25% fat + 645kcal (fails Mocha). Out for both.</t>
        </is>
      </c>
      <c r="H144" s="12" t="n"/>
      <c r="J144" s="10" t="n">
        <v>6</v>
      </c>
      <c r="K144" s="13" t="inlineStr">
        <is>
          <t>Poor</t>
        </is>
      </c>
      <c r="L144" s="14" t="inlineStr">
        <is>
          <t>Y</t>
        </is>
      </c>
      <c r="M144" s="12" t="n"/>
      <c r="N144" s="12" t="n"/>
      <c r="O144" s="12" t="n"/>
      <c r="P144" s="20" t="n">
        <v>0</v>
      </c>
      <c r="Q144" s="20" t="n">
        <v>70</v>
      </c>
      <c r="R144" s="22" t="inlineStr">
        <is>
          <t>Mod</t>
        </is>
      </c>
    </row>
    <row r="145">
      <c r="A145" s="10" t="inlineStr">
        <is>
          <t>Young Again</t>
        </is>
      </c>
      <c r="B145" s="10" t="inlineStr">
        <is>
          <t>Zero Mature 54/24</t>
        </is>
      </c>
      <c r="D145" s="10" t="n">
        <v>654</v>
      </c>
      <c r="E145" s="10" t="n">
        <v>54</v>
      </c>
      <c r="F145" s="10" t="inlineStr">
        <is>
          <t>Hydrolyzed Pork, Chicken Meal, Chicken Fat, Chicken Liver Flavor, Guar Gum, L-Lysine, Fish Oil, Psyllium Husk, Brewers Yeast, Fructooligosaccharides, Dried Aspergillus oryzae Fermentation Extract, Dehydrated Pediococcus Acidilactici Fermentation Product</t>
        </is>
      </c>
      <c r="G145" s="10" t="inlineStr">
        <is>
          <t>HAS FISH OIL (fails Evie) + FOS + probiotic + 24% fat + 654kcal (fails Mocha). Out for both.</t>
        </is>
      </c>
      <c r="H145" s="12" t="n"/>
      <c r="J145" s="10" t="n">
        <v>5</v>
      </c>
      <c r="K145" s="13" t="inlineStr">
        <is>
          <t>Poor</t>
        </is>
      </c>
      <c r="L145" s="14" t="inlineStr">
        <is>
          <t>Y</t>
        </is>
      </c>
      <c r="M145" s="12" t="n"/>
      <c r="N145" s="12" t="n"/>
      <c r="O145" s="12" t="n"/>
      <c r="P145" s="20" t="n">
        <v>0</v>
      </c>
      <c r="Q145" s="20" t="n">
        <v>91</v>
      </c>
      <c r="R145" s="21" t="inlineStr">
        <is>
          <t>High</t>
        </is>
      </c>
    </row>
    <row r="146">
      <c r="A146" s="10" t="inlineStr">
        <is>
          <t>Young Again</t>
        </is>
      </c>
      <c r="B146" s="10" t="inlineStr">
        <is>
          <t>Original 50/22 Multi-Cat/Kitten &amp; Juvenile</t>
        </is>
      </c>
      <c r="D146" s="10" t="n">
        <v>647</v>
      </c>
      <c r="E146" s="10" t="n">
        <v>50</v>
      </c>
      <c r="F146" s="10" t="inlineStr">
        <is>
          <t>Hydrolyzed Pork, Chicken Meal, Chicken Fat, Potato Starch, Chicken Liver Flavor, Herring Meal, L-Lysine, Fish Oil, Psyllium Husk, Fructooligosaccharides, Brewers Yeast, Dried Aspergillus oryzae Fermentation Extract, Dehydrated Pediococcus Acidilactici Fermentation Product</t>
        </is>
      </c>
      <c r="G146" s="10" t="inlineStr">
        <is>
          <t>Kitten/juvenile growth formula (good profile for young cat) BUT herring meal + fish oil = fails Evie; FOS+probiotic+22% fat = fails Mocha. Only YA fish-free is TruCarnivore Sensitive Stomach</t>
        </is>
      </c>
      <c r="H146" s="12" t="n"/>
      <c r="J146" s="10" t="n">
        <v>5</v>
      </c>
      <c r="K146" s="13" t="inlineStr">
        <is>
          <t>Poor</t>
        </is>
      </c>
      <c r="L146" s="14" t="inlineStr">
        <is>
          <t>Y</t>
        </is>
      </c>
      <c r="M146" s="12" t="n"/>
      <c r="N146" s="12" t="n"/>
      <c r="O146" s="12" t="n"/>
      <c r="P146" s="20" t="n">
        <v>0</v>
      </c>
      <c r="Q146" s="20" t="n">
        <v>93</v>
      </c>
      <c r="R146" s="21" t="inlineStr">
        <is>
          <t>High</t>
        </is>
      </c>
    </row>
    <row r="147">
      <c r="A147" s="10" t="inlineStr">
        <is>
          <t>Young Again</t>
        </is>
      </c>
      <c r="B147" s="10" t="inlineStr">
        <is>
          <t>Zero Cat Food 54/26</t>
        </is>
      </c>
      <c r="D147" s="10" t="n">
        <v>650</v>
      </c>
      <c r="E147" s="10" t="n">
        <v>54</v>
      </c>
      <c r="F147" s="10" t="inlineStr">
        <is>
          <t>Hydrolyzed Pork, Chicken Meal, Chicken Fat, Chicken Liver Flavor, Guar Gum, Herring Meal, L-Lysine, Fish Oil, Psyllium Husk, Fructooligosaccharides, Brewers Yeast, Dried Aspergillus oryzae Fermentation Extract, Dehydrated Pediococcus Acidilactici Fermentation Product</t>
        </is>
      </c>
      <c r="G147" s="10" t="inlineStr">
        <is>
          <t>Herring meal + fish oil (fails Evie) + FOS + probiotic + 26% fat (fails Mocha)</t>
        </is>
      </c>
      <c r="H147" s="12" t="n"/>
      <c r="J147" s="10" t="n">
        <v>5</v>
      </c>
      <c r="K147" s="13" t="inlineStr">
        <is>
          <t>Poor</t>
        </is>
      </c>
      <c r="L147" s="14" t="inlineStr">
        <is>
          <t>Y</t>
        </is>
      </c>
      <c r="M147" s="12" t="n"/>
      <c r="N147" s="12" t="n"/>
      <c r="O147" s="12" t="n"/>
      <c r="P147" s="20" t="n">
        <v>0</v>
      </c>
      <c r="Q147" s="20" t="n">
        <v>93</v>
      </c>
      <c r="R147" s="21" t="inlineStr">
        <is>
          <t>High</t>
        </is>
      </c>
    </row>
    <row r="148">
      <c r="A148" s="10" t="inlineStr">
        <is>
          <t>Wysong</t>
        </is>
      </c>
      <c r="B148" s="10" t="inlineStr">
        <is>
          <t>Epigen 90 Starch-Free</t>
        </is>
      </c>
      <c r="D148" s="10" t="n">
        <v>447</v>
      </c>
      <c r="E148" s="10" t="n">
        <v>63</v>
      </c>
      <c r="F148" s="10" t="inlineStr">
        <is>
          <t>Chicken Meal, Organic Chicken, Meat Protein Isolate, Chicken Fat, Gelatin, Natural Flavor, Coconut Oil, Chia Seeds, Taurine, Calcium Carbonate, Apple Pectin, Fish Oil, Yeast Extract, Inulin, Yeast Culture, Dried Aspergillus Oryzae Fermentation Product, Dried Enterococcus Faecium Fermentation Product, Dried Lactobacillus Casei Fermentation Product, Dried Lactobacillus acidophilus Fermentation Product, Dried Bacillus Subtilis Fermentation Product, Dried Lactobacillus Plantarum Fermentation Product, Dried Lactobacillus Lactis Fermentation Product</t>
        </is>
      </c>
      <c r="G148" s="10" t="inlineStr">
        <is>
          <t>63% ANIMAL protein, starch-free, 447kcal, 16% fat = PERFECT macros for Mocha muscle BUT inulin + 7 probiotics (SIBO) + fish oil (Evie). Tragic near-miss - if not for inulin/probiotics this was THE Mocha food</t>
        </is>
      </c>
      <c r="H148" s="12" t="n"/>
      <c r="J148" s="10" t="n">
        <v>6</v>
      </c>
      <c r="K148" s="13" t="inlineStr">
        <is>
          <t>Poor</t>
        </is>
      </c>
      <c r="L148" s="14" t="inlineStr">
        <is>
          <t>Y</t>
        </is>
      </c>
      <c r="M148" s="12" t="n"/>
      <c r="N148" s="12" t="n"/>
      <c r="O148" s="12" t="n"/>
      <c r="P148" s="20" t="n">
        <v>0</v>
      </c>
      <c r="Q148" s="20" t="n">
        <v>89</v>
      </c>
      <c r="R148" s="21" t="inlineStr">
        <is>
          <t>High</t>
        </is>
      </c>
    </row>
    <row r="149">
      <c r="A149" s="10" t="inlineStr">
        <is>
          <t>Wysong</t>
        </is>
      </c>
      <c r="B149" s="10" t="inlineStr">
        <is>
          <t>Vitality</t>
        </is>
      </c>
      <c r="D149" s="10" t="n">
        <v>440</v>
      </c>
      <c r="E149" s="10" t="n">
        <v>42</v>
      </c>
      <c r="F149" s="10" t="inlineStr">
        <is>
          <t>Chicken Meal, Chicken, Turkey Meal, Brown Rice, Peas, Potato Protein, Chicken Fat, Flaxseeds, Dried Plain Beet Pulp, Sesame Seeds, Montmorillonite Clay, Crab Meal, Dried Whey, Dried Tomato Pomace, Coconut Oil, Dried Yogurt, Yeast Extract, Fish Oil, Inulin, Yeast Culture, Dried Aspergillus Oryzae Fermentation Product, Dried Enterococcus Faecium Fermentation Product, Dried Lactobacillus Casei Fermentation Product</t>
        </is>
      </c>
      <c r="G149" s="10" t="inlineStr">
        <is>
          <t>Peas+beet pulp+inulin+probiotics (Mocha) + fish oil/crab + CLAY (Evie dislikes clay) + potato protein. Out both</t>
        </is>
      </c>
      <c r="H149" s="12" t="n"/>
      <c r="J149" s="10" t="n">
        <v>9.5</v>
      </c>
      <c r="K149" s="12" t="inlineStr">
        <is>
          <t>Avoid</t>
        </is>
      </c>
      <c r="L149" s="14" t="inlineStr">
        <is>
          <t>Y</t>
        </is>
      </c>
      <c r="M149" s="12" t="n"/>
      <c r="N149" s="12" t="n"/>
      <c r="O149" s="12" t="n"/>
      <c r="P149" s="20" t="n">
        <v>1</v>
      </c>
      <c r="Q149" s="20" t="n">
        <v>71</v>
      </c>
      <c r="R149" s="22" t="inlineStr">
        <is>
          <t>Mod</t>
        </is>
      </c>
    </row>
    <row r="150">
      <c r="A150" s="10" t="inlineStr">
        <is>
          <t>Dr. Elsey's</t>
        </is>
      </c>
      <c r="B150" s="10" t="inlineStr">
        <is>
          <t>cleanprotein Chicken dry</t>
        </is>
      </c>
      <c r="D150" s="10" t="n">
        <v>523</v>
      </c>
      <c r="E150" s="10" t="n">
        <v>59</v>
      </c>
      <c r="F150" s="10" t="inlineStr">
        <is>
          <t>Chicken, Hydrolyzed Pork, Pork Plasma, Gelatin, Chicken Fat, Ground Flaxseed, Natural Flavor, Calcium Carbonate, Salmon Oil, Fructooligosaccharides, Taurine</t>
        </is>
      </c>
      <c r="G150" s="10" t="inlineStr">
        <is>
          <t>59% protein hydrolyzed; FOS + salmon oil</t>
        </is>
      </c>
      <c r="H150" s="12" t="n"/>
      <c r="J150" s="10" t="n">
        <v>5</v>
      </c>
      <c r="K150" s="13" t="inlineStr">
        <is>
          <t>Poor</t>
        </is>
      </c>
      <c r="M150" s="12" t="n"/>
      <c r="N150" s="12" t="n"/>
      <c r="O150" s="12" t="n"/>
      <c r="P150" s="20" t="n">
        <v>0</v>
      </c>
      <c r="Q150" s="20" t="n">
        <v>100</v>
      </c>
      <c r="R150" s="21" t="inlineStr">
        <is>
          <t>High</t>
        </is>
      </c>
    </row>
    <row r="151">
      <c r="A151" s="10" t="inlineStr">
        <is>
          <t>Dr. Elsey's</t>
        </is>
      </c>
      <c r="B151" s="10" t="inlineStr">
        <is>
          <t>cleanprotein Pork dry</t>
        </is>
      </c>
      <c r="D151" s="10" t="n">
        <v>492</v>
      </c>
      <c r="E151" s="10" t="n">
        <v>57</v>
      </c>
      <c r="F151" s="10" t="inlineStr">
        <is>
          <t>Hydrolyzed Pork, Pork Plasma, Dried Chicken, Chicken Fat, Gelatin, Ground Flaxseed, Natural Flavor, Calcium Carbonate, Salmon Oil, Fructooligosaccharides, Taurine</t>
        </is>
      </c>
      <c r="G151" s="10" t="inlineStr">
        <is>
          <t>57% protein; FOS + salmon oil</t>
        </is>
      </c>
      <c r="H151" s="12" t="n"/>
      <c r="J151" s="10" t="n">
        <v>5</v>
      </c>
      <c r="K151" s="13" t="inlineStr">
        <is>
          <t>Poor</t>
        </is>
      </c>
      <c r="M151" s="12" t="n"/>
      <c r="N151" s="12" t="n"/>
      <c r="O151" s="12" t="n"/>
      <c r="P151" s="20" t="n">
        <v>0</v>
      </c>
      <c r="Q151" s="20" t="n">
        <v>100</v>
      </c>
      <c r="R151" s="21" t="inlineStr">
        <is>
          <t>High</t>
        </is>
      </c>
    </row>
    <row r="152">
      <c r="A152" s="10" t="inlineStr">
        <is>
          <t>Dr. Elsey's</t>
        </is>
      </c>
      <c r="B152" s="10" t="inlineStr">
        <is>
          <t>cleanprotein Duck dry</t>
        </is>
      </c>
      <c r="D152" s="10" t="n">
        <v>518</v>
      </c>
      <c r="E152" s="10" t="n">
        <v>58</v>
      </c>
      <c r="F152" s="10" t="inlineStr">
        <is>
          <t>Duck, Dried Chicken, Hydrolyzed Pork, Gelatin, Pork Plasma, Chicken Fat, Ground Flaxseed, Dried Pork Liver, Natural Flavor, Salmon Oil, Fructooligosaccharides, Taurine</t>
        </is>
      </c>
      <c r="G152" s="10" t="inlineStr">
        <is>
          <t>58% protein; FOS + salmon oil</t>
        </is>
      </c>
      <c r="H152" s="12" t="n"/>
      <c r="J152" s="10" t="n">
        <v>5</v>
      </c>
      <c r="K152" s="13" t="inlineStr">
        <is>
          <t>Poor</t>
        </is>
      </c>
      <c r="M152" s="12" t="n"/>
      <c r="N152" s="12" t="n"/>
      <c r="O152" s="12" t="n"/>
      <c r="P152" s="20" t="n">
        <v>0</v>
      </c>
      <c r="Q152" s="20" t="n">
        <v>100</v>
      </c>
      <c r="R152" s="21" t="inlineStr">
        <is>
          <t>High</t>
        </is>
      </c>
    </row>
    <row r="153">
      <c r="A153" s="10" t="inlineStr">
        <is>
          <t>Dr. Elsey's</t>
        </is>
      </c>
      <c r="B153" s="10" t="inlineStr">
        <is>
          <t>cleanprotein Turkey dry</t>
        </is>
      </c>
      <c r="D153" s="10" t="n">
        <v>489</v>
      </c>
      <c r="E153" s="10" t="n">
        <v>56</v>
      </c>
      <c r="F153" s="10" t="inlineStr">
        <is>
          <t>Turkey, Dried Chicken, Hydrolyzed Pork, Pork Plasma, Chicken Fat, Gelatin, Dried Chicken Liver, Ground Flaxseed, Natural Flavor, Salmon Oil, Fructooligosaccharides, Taurine</t>
        </is>
      </c>
      <c r="G153" s="10" t="inlineStr">
        <is>
          <t>56% protein; FOS + salmon oil</t>
        </is>
      </c>
      <c r="H153" s="12" t="n"/>
      <c r="J153" s="10" t="n">
        <v>5</v>
      </c>
      <c r="K153" s="13" t="inlineStr">
        <is>
          <t>Poor</t>
        </is>
      </c>
      <c r="M153" s="12" t="n"/>
      <c r="N153" s="12" t="n"/>
      <c r="O153" s="12" t="n"/>
      <c r="P153" s="20" t="n">
        <v>0</v>
      </c>
      <c r="Q153" s="20" t="n">
        <v>100</v>
      </c>
      <c r="R153" s="21" t="inlineStr">
        <is>
          <t>High</t>
        </is>
      </c>
    </row>
    <row r="154">
      <c r="A154" s="10" t="inlineStr">
        <is>
          <t>Go! Solutions</t>
        </is>
      </c>
      <c r="B154" s="10" t="inlineStr">
        <is>
          <t>Sensitivities LID Insect (Black Soldier Fly)</t>
        </is>
      </c>
      <c r="D154" s="10" t="n">
        <v>455</v>
      </c>
      <c r="E154" s="10" t="n">
        <v>30</v>
      </c>
      <c r="F154" s="10" t="inlineStr">
        <is>
          <t>Dried Black Soldier Fly Larvae, Peas, Lentils, Whole Dried Egg, Tapioca, Pea Flour, Chickpeas, Canola Oil, Flaxseed, Dried Chicory Root, Taurine</t>
        </is>
      </c>
      <c r="G154" s="10" t="inlineStr">
        <is>
          <t>novel insect protein but peas+lentils+chickpeas+pea flour+chicory = Avoid; only 30% protein</t>
        </is>
      </c>
      <c r="H154" s="11" t="inlineStr">
        <is>
          <t>Y</t>
        </is>
      </c>
      <c r="J154" s="10" t="n">
        <v>11</v>
      </c>
      <c r="K154" s="12" t="inlineStr">
        <is>
          <t>Avoid</t>
        </is>
      </c>
      <c r="M154" s="11" t="inlineStr">
        <is>
          <t>Y</t>
        </is>
      </c>
      <c r="N154" s="12" t="n"/>
      <c r="O154" s="12" t="n"/>
      <c r="P154" s="20" t="n">
        <v>1</v>
      </c>
      <c r="Q154" s="20" t="n">
        <v>54</v>
      </c>
      <c r="R154" s="23" t="inlineStr">
        <is>
          <t>Low</t>
        </is>
      </c>
    </row>
  </sheetData>
  <autoFilter ref="A1:R154"/>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7"/>
  <sheetViews>
    <sheetView tabSelected="0" workbookViewId="0">
      <selection activeCell="A1" sqref="A1"/>
    </sheetView>
  </sheetViews>
  <sheetFormatPr baseColWidth="8" defaultRowHeight="15"/>
  <cols>
    <col width="100" customWidth="1" min="1" max="1"/>
  </cols>
  <sheetData>
    <row r="1">
      <c r="A1" s="1" t="inlineStr">
        <is>
          <t>TRIAL NOTES / HISTORY</t>
        </is>
      </c>
    </row>
    <row r="3">
      <c r="A3" s="3" t="inlineStr">
        <is>
          <t>july 2024 pro plan duck + arctic char - soft stools still, avoid fish</t>
        </is>
      </c>
    </row>
    <row r="4">
      <c r="A4" s="3" t="inlineStr">
        <is>
          <t>October 2024 Instinct LID turkey - evie won't finish it</t>
        </is>
      </c>
    </row>
    <row r="5">
      <c r="A5" s="3" t="inlineStr">
        <is>
          <t>December 2024 Tiki Cat Mousse - likes but super soft smells stools</t>
        </is>
      </c>
    </row>
    <row r="6">
      <c r="A6" s="3" t="inlineStr">
        <is>
          <t>Try next Purina Beyond High Protein Organic Chicken &amp; Carrot - acceptable, but haven't tried weaning propectalin, doesn't finish completely</t>
        </is>
      </c>
    </row>
    <row r="7">
      <c r="A7" s="3" t="inlineStr">
        <is>
          <t>Evie - x3 fish free fancy feast varieties; likes a good amount but soft stool after a week or so. Will have to try again one variety at a time</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P17"/>
  <sheetViews>
    <sheetView tabSelected="0" workbookViewId="0">
      <selection activeCell="A1" sqref="A1"/>
    </sheetView>
  </sheetViews>
  <sheetFormatPr baseColWidth="8" defaultRowHeight="15"/>
  <sheetData>
    <row r="1">
      <c r="A1" s="3">
        <f>510/8 +85/2</f>
        <v/>
      </c>
      <c r="B1" s="3" t="inlineStr">
        <is>
          <t>mocha orijen</t>
        </is>
      </c>
      <c r="E1" s="3" t="n">
        <v>86</v>
      </c>
      <c r="F1" s="3">
        <f>E1/2</f>
        <v/>
      </c>
      <c r="I1" s="3" t="n">
        <v>178</v>
      </c>
      <c r="J1" s="3">
        <f>I1/3</f>
        <v/>
      </c>
      <c r="N1" s="3" t="inlineStr">
        <is>
          <t>little can</t>
        </is>
      </c>
      <c r="O1" s="3" t="inlineStr">
        <is>
          <t>dry</t>
        </is>
      </c>
      <c r="P1" s="3" t="inlineStr">
        <is>
          <t>2/3 big can</t>
        </is>
      </c>
    </row>
    <row r="2">
      <c r="A2" s="3">
        <f>352/8+136/2</f>
        <v/>
      </c>
      <c r="B2" s="3" t="inlineStr">
        <is>
          <t>latte blue buffalo</t>
        </is>
      </c>
      <c r="E2" s="3" t="n">
        <v>530</v>
      </c>
      <c r="F2" s="3">
        <f>E2/8</f>
        <v/>
      </c>
      <c r="I2" s="3" t="n">
        <v>397</v>
      </c>
      <c r="J2" s="3">
        <f>I2/8</f>
        <v/>
      </c>
      <c r="N2" s="3" t="n">
        <v>78</v>
      </c>
      <c r="O2" s="3" t="n">
        <v>498</v>
      </c>
      <c r="P2" s="3" t="n">
        <v>161</v>
      </c>
    </row>
    <row r="3">
      <c r="A3" s="3">
        <f>514/2+105/2</f>
        <v/>
      </c>
      <c r="B3" s="3" t="inlineStr">
        <is>
          <t>evie purina</t>
        </is>
      </c>
      <c r="F3" s="3">
        <f>F2+F1</f>
        <v/>
      </c>
      <c r="J3" s="3">
        <f>J2+J1</f>
        <v/>
      </c>
      <c r="N3" s="18">
        <f>N2+O3</f>
        <v/>
      </c>
      <c r="O3" s="3">
        <f>3/8*O2</f>
        <v/>
      </c>
      <c r="P3" s="18">
        <f>2/3*P2 + O3</f>
        <v/>
      </c>
    </row>
    <row r="4">
      <c r="F4" s="3" t="inlineStr">
        <is>
          <t>hills sensitive skin/stomach</t>
        </is>
      </c>
      <c r="J4" s="3" t="inlineStr">
        <is>
          <t>hills stress multicare</t>
        </is>
      </c>
      <c r="O4" s="3" t="inlineStr">
        <is>
          <t>hills i/d digestive + s/ox</t>
        </is>
      </c>
    </row>
    <row r="6">
      <c r="O6" s="18">
        <f>1/8*O2+1/2*N2</f>
        <v/>
      </c>
      <c r="P6" s="3" t="inlineStr">
        <is>
          <t xml:space="preserve">mocha little </t>
        </is>
      </c>
    </row>
    <row r="7">
      <c r="O7" s="18">
        <f>1/8*O2+1/3*P2</f>
        <v/>
      </c>
      <c r="P7" s="3" t="inlineStr">
        <is>
          <t>mocha 1/3 big</t>
        </is>
      </c>
    </row>
    <row r="8">
      <c r="D8" s="3" t="inlineStr">
        <is>
          <t>1/8 cup</t>
        </is>
      </c>
      <c r="E8" s="3">
        <f>F8*3/24</f>
        <v/>
      </c>
      <c r="F8" s="3" t="n">
        <v>424</v>
      </c>
      <c r="G8" s="3" t="inlineStr">
        <is>
          <t>biome</t>
        </is>
      </c>
    </row>
    <row r="9">
      <c r="D9" s="3" t="inlineStr">
        <is>
          <t>1/2 can</t>
        </is>
      </c>
      <c r="E9" s="3">
        <f>F9/2</f>
        <v/>
      </c>
      <c r="F9" s="3" t="n">
        <v>78</v>
      </c>
      <c r="G9" s="3" t="inlineStr">
        <is>
          <t>i/d 3oz can</t>
        </is>
      </c>
    </row>
    <row r="10">
      <c r="D10" s="3" t="inlineStr">
        <is>
          <t>1/4 can</t>
        </is>
      </c>
      <c r="E10" s="3">
        <f>F10/4</f>
        <v/>
      </c>
      <c r="F10" s="3" t="n">
        <v>161</v>
      </c>
      <c r="G10" s="3" t="inlineStr">
        <is>
          <t>i/d 5.5oz can</t>
        </is>
      </c>
    </row>
    <row r="12">
      <c r="A12" s="3">
        <f>3/24</f>
        <v/>
      </c>
      <c r="D12" s="3" t="inlineStr">
        <is>
          <t>1/6+ cup</t>
        </is>
      </c>
      <c r="E12" s="18">
        <f>$E$8/F12</f>
        <v/>
      </c>
      <c r="F12" s="3" t="n">
        <v>302</v>
      </c>
      <c r="G12" s="3" t="inlineStr">
        <is>
          <t>iams indoor weight</t>
        </is>
      </c>
      <c r="I12" s="3" t="inlineStr">
        <is>
          <t>60 - 96 per can</t>
        </is>
      </c>
    </row>
    <row r="13">
      <c r="A13" s="3">
        <f>4/24</f>
        <v/>
      </c>
      <c r="D13" s="3" t="inlineStr">
        <is>
          <t>1/7+ cup</t>
        </is>
      </c>
      <c r="E13" s="3">
        <f>$E$8/F13</f>
        <v/>
      </c>
      <c r="F13" s="3" t="n">
        <v>352</v>
      </c>
      <c r="G13" s="3" t="inlineStr">
        <is>
          <t>iams sensitive</t>
        </is>
      </c>
      <c r="I13" s="3">
        <f>46*2</f>
        <v/>
      </c>
    </row>
    <row r="14">
      <c r="A14" s="3">
        <f>5/24</f>
        <v/>
      </c>
      <c r="D14" s="18" t="inlineStr">
        <is>
          <t>1/7 cup</t>
        </is>
      </c>
      <c r="E14" s="18">
        <f>$E$8/F14</f>
        <v/>
      </c>
      <c r="F14" s="18" t="n">
        <v>356</v>
      </c>
      <c r="G14" s="18" t="inlineStr">
        <is>
          <t>purina true instinct</t>
        </is>
      </c>
      <c r="I14" s="18" t="inlineStr">
        <is>
          <t>71-82 per can</t>
        </is>
      </c>
      <c r="N14" s="3" t="inlineStr">
        <is>
          <t>mocha half i/d wet half ultamino after IBD illness/giardia</t>
        </is>
      </c>
    </row>
    <row r="15">
      <c r="D15" s="3" t="inlineStr">
        <is>
          <t>1/7- cup</t>
        </is>
      </c>
      <c r="E15" s="3">
        <f>$E$8/F15</f>
        <v/>
      </c>
      <c r="F15" s="3" t="n">
        <v>379</v>
      </c>
      <c r="G15" s="3" t="inlineStr">
        <is>
          <t>tiki indoor</t>
        </is>
      </c>
      <c r="I15" s="3" t="inlineStr">
        <is>
          <t>60ish per can, questionable texture</t>
        </is>
      </c>
      <c r="N15" s="3" t="inlineStr">
        <is>
          <t>sept 2024 transitioned to biome</t>
        </is>
      </c>
    </row>
    <row r="16">
      <c r="D16" s="3" t="inlineStr">
        <is>
          <t>1/7 cup</t>
        </is>
      </c>
      <c r="E16" s="3">
        <f>$E$8/F16</f>
        <v/>
      </c>
      <c r="F16" s="3" t="n">
        <v>360</v>
      </c>
      <c r="G16" s="3" t="inlineStr">
        <is>
          <t>solid gold weight</t>
        </is>
      </c>
    </row>
    <row r="17">
      <c r="D17" s="3" t="inlineStr">
        <is>
          <t>1/8+ cup</t>
        </is>
      </c>
      <c r="E17" s="3">
        <f>$E$8/F17</f>
        <v/>
      </c>
      <c r="F17" s="3" t="n">
        <v>385</v>
      </c>
      <c r="G17" s="3" t="inlineStr">
        <is>
          <t>solid gold sensitive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2026-08-03T02:21:21Z</dcterms:created>
  <dcterms:modified xmlns:dcterms="http://purl.org/dc/terms/" xmlns:xsi="http://www.w3.org/2001/XMLSchema-instance" xsi:type="dcterms:W3CDTF">2026-08-03T02:47:57Z</dcterms:modified>
</cp:coreProperties>
</file>